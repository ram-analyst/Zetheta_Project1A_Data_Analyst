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4e7532d02ee517/Desktop/Zetheta_Project1A/Excel/"/>
    </mc:Choice>
  </mc:AlternateContent>
  <xr:revisionPtr revIDLastSave="0" documentId="13_ncr:1_{C15B880B-B27E-4F42-BEED-E37DA99E7ACA}" xr6:coauthVersionLast="47" xr6:coauthVersionMax="47" xr10:uidLastSave="{00000000-0000-0000-0000-000000000000}"/>
  <bookViews>
    <workbookView xWindow="7404" yWindow="0" windowWidth="15696" windowHeight="12336" activeTab="1" xr2:uid="{E11E1D8F-D18B-4044-A650-63EBA6346C09}"/>
  </bookViews>
  <sheets>
    <sheet name="auto_loan_securitisation_data" sheetId="2" r:id="rId1"/>
    <sheet name="Sheet1" sheetId="1" r:id="rId2"/>
  </sheets>
  <definedNames>
    <definedName name="ExternalData_1" localSheetId="0" hidden="1">auto_loan_securitisation_data!$A$1:$BF$501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4" i="1"/>
  <c r="G4" i="1" a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4" i="1"/>
  <c r="E4" i="1" a="1"/>
  <c r="D4" i="1" a="1"/>
  <c r="C4" i="1" a="1"/>
  <c r="B4" i="1" a="1"/>
  <c r="A4" i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3B59F2-E077-40FB-901A-0CC8A812FDFD}" keepAlive="1" name="Query - auto_loan_securitisation_data" description="Connection to the 'auto_loan_securitisation_data' query in the workbook." type="5" refreshedVersion="8" background="1" saveData="1">
    <dbPr connection="Provider=Microsoft.Mashup.OleDb.1;Data Source=$Workbook$;Location=auto_loan_securitisation_data;Extended Properties=&quot;&quot;" command="SELECT * FROM [auto_loan_securitisation_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<sst xmlns="http://schemas.openxmlformats.org/spreadsheetml/2006/main" count="8067" uniqueCount="1180">
  <si>
    <t>IFRS 9 ECL Cross-Check</t>
  </si>
  <si>
    <t>Loan ID</t>
  </si>
  <si>
    <t>IFRS Stage</t>
  </si>
  <si>
    <t>PD</t>
  </si>
  <si>
    <t>LGD</t>
  </si>
  <si>
    <t>EAD</t>
  </si>
  <si>
    <t>Calcukated ECL</t>
  </si>
  <si>
    <t>Power BI ECL</t>
  </si>
  <si>
    <t>Difference</t>
  </si>
  <si>
    <t>LoanID</t>
  </si>
  <si>
    <t>PoolID</t>
  </si>
  <si>
    <t>BorrowerID</t>
  </si>
  <si>
    <t>ServicerID</t>
  </si>
  <si>
    <t>ServicerName</t>
  </si>
  <si>
    <t>OriginationChannel</t>
  </si>
  <si>
    <t>OriginationDate</t>
  </si>
  <si>
    <t>CutoffDate</t>
  </si>
  <si>
    <t>MaturityDate</t>
  </si>
  <si>
    <t>OriginalLoanAmount</t>
  </si>
  <si>
    <t>OriginalTerm</t>
  </si>
  <si>
    <t>RemainingTerm</t>
  </si>
  <si>
    <t>MonthsOnBook</t>
  </si>
  <si>
    <t>InterestRate</t>
  </si>
  <si>
    <t>MonthlyEMI</t>
  </si>
  <si>
    <t>LoanPurpose</t>
  </si>
  <si>
    <t>CurrentBalance</t>
  </si>
  <si>
    <t>ScheduledPaymentDue</t>
  </si>
  <si>
    <t>LastPaymentAmount</t>
  </si>
  <si>
    <t>LastPaymentDate</t>
  </si>
  <si>
    <t>DelinquencyStatus</t>
  </si>
  <si>
    <t>DelinquencyDays</t>
  </si>
  <si>
    <t>TotalPaymentsDue</t>
  </si>
  <si>
    <t>TotalPaymentsMade</t>
  </si>
  <si>
    <t>Times30DPD_Last12M</t>
  </si>
  <si>
    <t>Times60DPD_Last12M</t>
  </si>
  <si>
    <t>Times90DPD_Last12M</t>
  </si>
  <si>
    <t>VehicleMake</t>
  </si>
  <si>
    <t>VehicleModel</t>
  </si>
  <si>
    <t>VehicleYear</t>
  </si>
  <si>
    <t>VehicleType</t>
  </si>
  <si>
    <t>IsNewVehicle</t>
  </si>
  <si>
    <t>OriginalVehicleValue</t>
  </si>
  <si>
    <t>CurrentVehicleValue</t>
  </si>
  <si>
    <t>LTV_AtOrigination</t>
  </si>
  <si>
    <t>LTV_Current</t>
  </si>
  <si>
    <t>BorrowerAge</t>
  </si>
  <si>
    <t>EmploymentType</t>
  </si>
  <si>
    <t>AnnualIncome_INR</t>
  </si>
  <si>
    <t>DTI_Ratio</t>
  </si>
  <si>
    <t>CIBIL_Score_Origination</t>
  </si>
  <si>
    <t>CIBIL_Score_Current</t>
  </si>
  <si>
    <t>Region</t>
  </si>
  <si>
    <t>State</t>
  </si>
  <si>
    <t>IFRS9_Stage</t>
  </si>
  <si>
    <t>PD_Estimate</t>
  </si>
  <si>
    <t>LGD_Estimate</t>
  </si>
  <si>
    <t>ECL_Provision</t>
  </si>
  <si>
    <t>IsDefaulted</t>
  </si>
  <si>
    <t>IsModified</t>
  </si>
  <si>
    <t>ModificationType</t>
  </si>
  <si>
    <t>LossAmount</t>
  </si>
  <si>
    <t>RecoveryAmount</t>
  </si>
  <si>
    <t>NetLoss</t>
  </si>
  <si>
    <t>PrepaymentAmount</t>
  </si>
  <si>
    <t>InsuranceType</t>
  </si>
  <si>
    <t>HasInsurance</t>
  </si>
  <si>
    <t>ZAAUTO2024-1-00001</t>
  </si>
  <si>
    <t>ZAAUTO2024-1</t>
  </si>
  <si>
    <t>BOR-131244</t>
  </si>
  <si>
    <t>SVC001</t>
  </si>
  <si>
    <t>HDFC Bank Auto Finance</t>
  </si>
  <si>
    <t>Direct</t>
  </si>
  <si>
    <t>New Vehicle Purchase</t>
  </si>
  <si>
    <t>Current</t>
  </si>
  <si>
    <t>Hyundai</t>
  </si>
  <si>
    <t>Creta</t>
  </si>
  <si>
    <t>Sedan</t>
  </si>
  <si>
    <t>Self-Employed</t>
  </si>
  <si>
    <t>Central</t>
  </si>
  <si>
    <t>Madhya Pradesh</t>
  </si>
  <si>
    <t/>
  </si>
  <si>
    <t>Comprehensive</t>
  </si>
  <si>
    <t>ZAAUTO2024-1-00002</t>
  </si>
  <si>
    <t>BOR-748564</t>
  </si>
  <si>
    <t>SVC003</t>
  </si>
  <si>
    <t>Bajaj Finance Auto</t>
  </si>
  <si>
    <t>Online</t>
  </si>
  <si>
    <t>1-29 DPD</t>
  </si>
  <si>
    <t>Kia</t>
  </si>
  <si>
    <t>Seltos</t>
  </si>
  <si>
    <t>Compact SUV</t>
  </si>
  <si>
    <t>West</t>
  </si>
  <si>
    <t>Maharashtra</t>
  </si>
  <si>
    <t>ZAAUTO2024-1-00003</t>
  </si>
  <si>
    <t>BOR-694731</t>
  </si>
  <si>
    <t>SVC002</t>
  </si>
  <si>
    <t>ICICI Auto Loans</t>
  </si>
  <si>
    <t>Volkswagen</t>
  </si>
  <si>
    <t>Taigun</t>
  </si>
  <si>
    <t>Hatchback</t>
  </si>
  <si>
    <t>South</t>
  </si>
  <si>
    <t>Andhra Pradesh</t>
  </si>
  <si>
    <t>ZAAUTO2024-1-00004</t>
  </si>
  <si>
    <t>BOR-855731</t>
  </si>
  <si>
    <t>Skoda</t>
  </si>
  <si>
    <t>Kushaq</t>
  </si>
  <si>
    <t>Business Owner</t>
  </si>
  <si>
    <t>Kerala</t>
  </si>
  <si>
    <t>Nil</t>
  </si>
  <si>
    <t>ZAAUTO2024-1-00005</t>
  </si>
  <si>
    <t>BOR-897549</t>
  </si>
  <si>
    <t>Toyota</t>
  </si>
  <si>
    <t>Glanza</t>
  </si>
  <si>
    <t>ZAAUTO2024-1-00006</t>
  </si>
  <si>
    <t>BOR-698782</t>
  </si>
  <si>
    <t>Dealer</t>
  </si>
  <si>
    <t>Used Vehicle Purchase</t>
  </si>
  <si>
    <t>Maruti Suzuki</t>
  </si>
  <si>
    <t>Ertiga</t>
  </si>
  <si>
    <t>SUV</t>
  </si>
  <si>
    <t>Professional</t>
  </si>
  <si>
    <t>Karnataka</t>
  </si>
  <si>
    <t>ZAAUTO2024-1-00007</t>
  </si>
  <si>
    <t>BOR-890170</t>
  </si>
  <si>
    <t>DSA</t>
  </si>
  <si>
    <t>Mahindra</t>
  </si>
  <si>
    <t>Scorpio</t>
  </si>
  <si>
    <t>East</t>
  </si>
  <si>
    <t>West Bengal</t>
  </si>
  <si>
    <t>ZAAUTO2024-1-00008</t>
  </si>
  <si>
    <t>BOR-358175</t>
  </si>
  <si>
    <t>60-89 DPD</t>
  </si>
  <si>
    <t>Salaried</t>
  </si>
  <si>
    <t>Chhattisgarh</t>
  </si>
  <si>
    <t>Third Party</t>
  </si>
  <si>
    <t>ZAAUTO2024-1-00009</t>
  </si>
  <si>
    <t>BOR-413921</t>
  </si>
  <si>
    <t>ZAAUTO2024-1-00010</t>
  </si>
  <si>
    <t>BOR-934794</t>
  </si>
  <si>
    <t>Refinance</t>
  </si>
  <si>
    <t>120+ DPD</t>
  </si>
  <si>
    <t>ZAAUTO2024-1-00011</t>
  </si>
  <si>
    <t>BOR-910891</t>
  </si>
  <si>
    <t>30-59 DPD</t>
  </si>
  <si>
    <t>Bolero</t>
  </si>
  <si>
    <t>North</t>
  </si>
  <si>
    <t>Delhi</t>
  </si>
  <si>
    <t>ZAAUTO2024-1-00012</t>
  </si>
  <si>
    <t>BOR-831076</t>
  </si>
  <si>
    <t>Telangana</t>
  </si>
  <si>
    <t>ZAAUTO2024-1-00013</t>
  </si>
  <si>
    <t>BOR-577538</t>
  </si>
  <si>
    <t>Virtus</t>
  </si>
  <si>
    <t>Odisha</t>
  </si>
  <si>
    <t>ZAAUTO2024-1-00014</t>
  </si>
  <si>
    <t>BOR-980660</t>
  </si>
  <si>
    <t>Slavia</t>
  </si>
  <si>
    <t>Punjab</t>
  </si>
  <si>
    <t>ZAAUTO2024-1-00015</t>
  </si>
  <si>
    <t>BOR-938722</t>
  </si>
  <si>
    <t>Dzire</t>
  </si>
  <si>
    <t>ZAAUTO2024-1-00016</t>
  </si>
  <si>
    <t>BOR-120324</t>
  </si>
  <si>
    <t>90-119 DPD</t>
  </si>
  <si>
    <t>MG Motor</t>
  </si>
  <si>
    <t>Astor</t>
  </si>
  <si>
    <t>MUV</t>
  </si>
  <si>
    <t>ZAAUTO2024-1-00017</t>
  </si>
  <si>
    <t>BOR-991597</t>
  </si>
  <si>
    <t>ZAAUTO2024-1-00018</t>
  </si>
  <si>
    <t>BOR-452737</t>
  </si>
  <si>
    <t>Sonet</t>
  </si>
  <si>
    <t>ZAAUTO2024-1-00019</t>
  </si>
  <si>
    <t>BOR-446859</t>
  </si>
  <si>
    <t>Honda</t>
  </si>
  <si>
    <t>Elevate</t>
  </si>
  <si>
    <t>Haryana</t>
  </si>
  <si>
    <t>ZAAUTO2024-1-00020</t>
  </si>
  <si>
    <t>BOR-592198</t>
  </si>
  <si>
    <t>ZAAUTO2024-1-00021</t>
  </si>
  <si>
    <t>BOR-321275</t>
  </si>
  <si>
    <t>Carens</t>
  </si>
  <si>
    <t>Uttar Pradesh</t>
  </si>
  <si>
    <t>ZAAUTO2024-1-00022</t>
  </si>
  <si>
    <t>BOR-522060</t>
  </si>
  <si>
    <t>Bihar</t>
  </si>
  <si>
    <t>ZAAUTO2024-1-00023</t>
  </si>
  <si>
    <t>BOR-402218</t>
  </si>
  <si>
    <t>Verna</t>
  </si>
  <si>
    <t>ZAAUTO2024-1-00024</t>
  </si>
  <si>
    <t>BOR-972565</t>
  </si>
  <si>
    <t>XUV700</t>
  </si>
  <si>
    <t>Gujarat</t>
  </si>
  <si>
    <t>ZAAUTO2024-1-00025</t>
  </si>
  <si>
    <t>BOR-350405</t>
  </si>
  <si>
    <t>ZAAUTO2024-1-00026</t>
  </si>
  <si>
    <t>BOR-896290</t>
  </si>
  <si>
    <t>Urban Cruiser</t>
  </si>
  <si>
    <t>ZAAUTO2024-1-00027</t>
  </si>
  <si>
    <t>BOR-367729</t>
  </si>
  <si>
    <t>ZAAUTO2024-1-00028</t>
  </si>
  <si>
    <t>BOR-362801</t>
  </si>
  <si>
    <t>Celerio</t>
  </si>
  <si>
    <t>Rajasthan</t>
  </si>
  <si>
    <t>ZAAUTO2024-1-00029</t>
  </si>
  <si>
    <t>BOR-483542</t>
  </si>
  <si>
    <t>ZAAUTO2024-1-00030</t>
  </si>
  <si>
    <t>BOR-575679</t>
  </si>
  <si>
    <t>Tata Motors</t>
  </si>
  <si>
    <t>Nexon</t>
  </si>
  <si>
    <t>ZAAUTO2024-1-00031</t>
  </si>
  <si>
    <t>BOR-692002</t>
  </si>
  <si>
    <t>Grand i10</t>
  </si>
  <si>
    <t>ZAAUTO2024-1-00032</t>
  </si>
  <si>
    <t>BOR-744986</t>
  </si>
  <si>
    <t>Jharkhand</t>
  </si>
  <si>
    <t>ZAAUTO2024-1-00033</t>
  </si>
  <si>
    <t>BOR-547494</t>
  </si>
  <si>
    <t>ZAAUTO2024-1-00034</t>
  </si>
  <si>
    <t>BOR-220465</t>
  </si>
  <si>
    <t>Aura</t>
  </si>
  <si>
    <t>ZAAUTO2024-1-00035</t>
  </si>
  <si>
    <t>BOR-189083</t>
  </si>
  <si>
    <t>ZAAUTO2024-1-00036</t>
  </si>
  <si>
    <t>BOR-837852</t>
  </si>
  <si>
    <t>Rate Reduction</t>
  </si>
  <si>
    <t>ZAAUTO2024-1-00037</t>
  </si>
  <si>
    <t>BOR-466346</t>
  </si>
  <si>
    <t>Fortuner</t>
  </si>
  <si>
    <t>Tamil Nadu</t>
  </si>
  <si>
    <t>ZAAUTO2024-1-00038</t>
  </si>
  <si>
    <t>BOR-401022</t>
  </si>
  <si>
    <t>ZAAUTO2024-1-00039</t>
  </si>
  <si>
    <t>BOR-450905</t>
  </si>
  <si>
    <t>ZAAUTO2024-1-00040</t>
  </si>
  <si>
    <t>BOR-410160</t>
  </si>
  <si>
    <t>ZAAUTO2024-1-00041</t>
  </si>
  <si>
    <t>BOR-538997</t>
  </si>
  <si>
    <t>Thar</t>
  </si>
  <si>
    <t>ZAAUTO2024-1-00042</t>
  </si>
  <si>
    <t>BOR-929822</t>
  </si>
  <si>
    <t>ZAAUTO2024-1-00043</t>
  </si>
  <si>
    <t>BOR-698384</t>
  </si>
  <si>
    <t>ZAAUTO2024-1-00044</t>
  </si>
  <si>
    <t>BOR-166165</t>
  </si>
  <si>
    <t>ZAAUTO2024-1-00045</t>
  </si>
  <si>
    <t>BOR-183958</t>
  </si>
  <si>
    <t>ZAAUTO2024-1-00046</t>
  </si>
  <si>
    <t>BOR-900152</t>
  </si>
  <si>
    <t>ZAAUTO2024-1-00047</t>
  </si>
  <si>
    <t>BOR-227257</t>
  </si>
  <si>
    <t>Innova</t>
  </si>
  <si>
    <t>Goa</t>
  </si>
  <si>
    <t>ZAAUTO2024-1-00048</t>
  </si>
  <si>
    <t>BOR-158104</t>
  </si>
  <si>
    <t>ZAAUTO2024-1-00049</t>
  </si>
  <si>
    <t>BOR-773088</t>
  </si>
  <si>
    <t>Swift</t>
  </si>
  <si>
    <t>ZAAUTO2024-1-00050</t>
  </si>
  <si>
    <t>BOR-267457</t>
  </si>
  <si>
    <t>i20</t>
  </si>
  <si>
    <t>ZAAUTO2024-1-00051</t>
  </si>
  <si>
    <t>BOR-901535</t>
  </si>
  <si>
    <t>ZAAUTO2024-1-00052</t>
  </si>
  <si>
    <t>BOR-613641</t>
  </si>
  <si>
    <t>ZAAUTO2024-1-00053</t>
  </si>
  <si>
    <t>BOR-594514</t>
  </si>
  <si>
    <t>ZAAUTO2024-1-00054</t>
  </si>
  <si>
    <t>BOR-958130</t>
  </si>
  <si>
    <t>ZAAUTO2024-1-00055</t>
  </si>
  <si>
    <t>BOR-401198</t>
  </si>
  <si>
    <t>ZAAUTO2024-1-00056</t>
  </si>
  <si>
    <t>BOR-240718</t>
  </si>
  <si>
    <t>ZAAUTO2024-1-00057</t>
  </si>
  <si>
    <t>BOR-165142</t>
  </si>
  <si>
    <t>ZAAUTO2024-1-00058</t>
  </si>
  <si>
    <t>BOR-272529</t>
  </si>
  <si>
    <t>ZAAUTO2024-1-00059</t>
  </si>
  <si>
    <t>BOR-570325</t>
  </si>
  <si>
    <t>Hector</t>
  </si>
  <si>
    <t>ZAAUTO2024-1-00060</t>
  </si>
  <si>
    <t>BOR-837449</t>
  </si>
  <si>
    <t>ZAAUTO2024-1-00061</t>
  </si>
  <si>
    <t>BOR-461145</t>
  </si>
  <si>
    <t>ZAAUTO2024-1-00062</t>
  </si>
  <si>
    <t>BOR-417915</t>
  </si>
  <si>
    <t>ZAAUTO2024-1-00063</t>
  </si>
  <si>
    <t>BOR-712401</t>
  </si>
  <si>
    <t>ZAAUTO2024-1-00064</t>
  </si>
  <si>
    <t>BOR-342675</t>
  </si>
  <si>
    <t>Payment Deferral</t>
  </si>
  <si>
    <t>ZAAUTO2024-1-00065</t>
  </si>
  <si>
    <t>BOR-525750</t>
  </si>
  <si>
    <t>ZAAUTO2024-1-00066</t>
  </si>
  <si>
    <t>BOR-888795</t>
  </si>
  <si>
    <t>ZAAUTO2024-1-00067</t>
  </si>
  <si>
    <t>BOR-748665</t>
  </si>
  <si>
    <t>ZAAUTO2024-1-00068</t>
  </si>
  <si>
    <t>BOR-686716</t>
  </si>
  <si>
    <t>ZAAUTO2024-1-00069</t>
  </si>
  <si>
    <t>BOR-829066</t>
  </si>
  <si>
    <t>ZAAUTO2024-1-00070</t>
  </si>
  <si>
    <t>BOR-417543</t>
  </si>
  <si>
    <t>ZAAUTO2024-1-00071</t>
  </si>
  <si>
    <t>BOR-812565</t>
  </si>
  <si>
    <t>City</t>
  </si>
  <si>
    <t>ZAAUTO2024-1-00072</t>
  </si>
  <si>
    <t>BOR-343118</t>
  </si>
  <si>
    <t>ZAAUTO2024-1-00073</t>
  </si>
  <si>
    <t>BOR-464825</t>
  </si>
  <si>
    <t>ZAAUTO2024-1-00074</t>
  </si>
  <si>
    <t>BOR-502594</t>
  </si>
  <si>
    <t>ZAAUTO2024-1-00075</t>
  </si>
  <si>
    <t>BOR-359555</t>
  </si>
  <si>
    <t>ZAAUTO2024-1-00076</t>
  </si>
  <si>
    <t>BOR-531589</t>
  </si>
  <si>
    <t>ZAAUTO2024-1-00077</t>
  </si>
  <si>
    <t>BOR-517035</t>
  </si>
  <si>
    <t>ZAAUTO2024-1-00078</t>
  </si>
  <si>
    <t>BOR-273565</t>
  </si>
  <si>
    <t>ZAAUTO2024-1-00079</t>
  </si>
  <si>
    <t>BOR-171734</t>
  </si>
  <si>
    <t>ZAAUTO2024-1-00080</t>
  </si>
  <si>
    <t>BOR-350967</t>
  </si>
  <si>
    <t>ZAAUTO2024-1-00081</t>
  </si>
  <si>
    <t>BOR-947312</t>
  </si>
  <si>
    <t>ZAAUTO2024-1-00082</t>
  </si>
  <si>
    <t>BOR-946313</t>
  </si>
  <si>
    <t>ZAAUTO2024-1-00083</t>
  </si>
  <si>
    <t>BOR-225200</t>
  </si>
  <si>
    <t>ZAAUTO2024-1-00084</t>
  </si>
  <si>
    <t>BOR-208998</t>
  </si>
  <si>
    <t>ZAAUTO2024-1-00085</t>
  </si>
  <si>
    <t>BOR-907557</t>
  </si>
  <si>
    <t>ZAAUTO2024-1-00086</t>
  </si>
  <si>
    <t>BOR-199326</t>
  </si>
  <si>
    <t>ZAAUTO2024-1-00087</t>
  </si>
  <si>
    <t>BOR-393448</t>
  </si>
  <si>
    <t>ZAAUTO2024-1-00088</t>
  </si>
  <si>
    <t>BOR-161437</t>
  </si>
  <si>
    <t>ZAAUTO2024-1-00089</t>
  </si>
  <si>
    <t>BOR-139807</t>
  </si>
  <si>
    <t>ZAAUTO2024-1-00090</t>
  </si>
  <si>
    <t>BOR-827250</t>
  </si>
  <si>
    <t>Punch</t>
  </si>
  <si>
    <t>ZAAUTO2024-1-00091</t>
  </si>
  <si>
    <t>BOR-361662</t>
  </si>
  <si>
    <t>ZAAUTO2024-1-00092</t>
  </si>
  <si>
    <t>BOR-606186</t>
  </si>
  <si>
    <t>ZAAUTO2024-1-00093</t>
  </si>
  <si>
    <t>BOR-596574</t>
  </si>
  <si>
    <t>ZAAUTO2024-1-00094</t>
  </si>
  <si>
    <t>BOR-182790</t>
  </si>
  <si>
    <t>XUV300</t>
  </si>
  <si>
    <t>ZAAUTO2024-1-00095</t>
  </si>
  <si>
    <t>BOR-256911</t>
  </si>
  <si>
    <t>ZAAUTO2024-1-00096</t>
  </si>
  <si>
    <t>BOR-965938</t>
  </si>
  <si>
    <t>ZAAUTO2024-1-00097</t>
  </si>
  <si>
    <t>BOR-132047</t>
  </si>
  <si>
    <t>Alto</t>
  </si>
  <si>
    <t>Term Extension</t>
  </si>
  <si>
    <t>ZAAUTO2024-1-00098</t>
  </si>
  <si>
    <t>BOR-388755</t>
  </si>
  <si>
    <t>Tiago</t>
  </si>
  <si>
    <t>ZAAUTO2024-1-00099</t>
  </si>
  <si>
    <t>BOR-409963</t>
  </si>
  <si>
    <t>ZAAUTO2024-1-00100</t>
  </si>
  <si>
    <t>BOR-586288</t>
  </si>
  <si>
    <t>ZAAUTO2024-1-00101</t>
  </si>
  <si>
    <t>BOR-276795</t>
  </si>
  <si>
    <t>ZAAUTO2024-1-00102</t>
  </si>
  <si>
    <t>BOR-454245</t>
  </si>
  <si>
    <t>ZAAUTO2024-1-00103</t>
  </si>
  <si>
    <t>BOR-645583</t>
  </si>
  <si>
    <t>ZAAUTO2024-1-00104</t>
  </si>
  <si>
    <t>BOR-858724</t>
  </si>
  <si>
    <t>Baleno</t>
  </si>
  <si>
    <t>ZAAUTO2024-1-00105</t>
  </si>
  <si>
    <t>BOR-991993</t>
  </si>
  <si>
    <t>Default</t>
  </si>
  <si>
    <t>ZAAUTO2024-1-00106</t>
  </si>
  <si>
    <t>BOR-454733</t>
  </si>
  <si>
    <t>ZAAUTO2024-1-00107</t>
  </si>
  <si>
    <t>BOR-785111</t>
  </si>
  <si>
    <t>ZAAUTO2024-1-00108</t>
  </si>
  <si>
    <t>BOR-529088</t>
  </si>
  <si>
    <t>ZAAUTO2024-1-00109</t>
  </si>
  <si>
    <t>BOR-437477</t>
  </si>
  <si>
    <t>ZAAUTO2024-1-00110</t>
  </si>
  <si>
    <t>BOR-659837</t>
  </si>
  <si>
    <t>ZAAUTO2024-1-00111</t>
  </si>
  <si>
    <t>BOR-818430</t>
  </si>
  <si>
    <t>ZAAUTO2024-1-00112</t>
  </si>
  <si>
    <t>BOR-745512</t>
  </si>
  <si>
    <t>ZAAUTO2024-1-00113</t>
  </si>
  <si>
    <t>BOR-436526</t>
  </si>
  <si>
    <t>ZAAUTO2024-1-00114</t>
  </si>
  <si>
    <t>BOR-176806</t>
  </si>
  <si>
    <t>ZAAUTO2024-1-00115</t>
  </si>
  <si>
    <t>BOR-990731</t>
  </si>
  <si>
    <t>ZAAUTO2024-1-00116</t>
  </si>
  <si>
    <t>BOR-446922</t>
  </si>
  <si>
    <t>ZAAUTO2024-1-00117</t>
  </si>
  <si>
    <t>BOR-776909</t>
  </si>
  <si>
    <t>Altroz</t>
  </si>
  <si>
    <t>ZAAUTO2024-1-00118</t>
  </si>
  <si>
    <t>BOR-247189</t>
  </si>
  <si>
    <t>ZAAUTO2024-1-00119</t>
  </si>
  <si>
    <t>BOR-333726</t>
  </si>
  <si>
    <t>ZAAUTO2024-1-00120</t>
  </si>
  <si>
    <t>BOR-637544</t>
  </si>
  <si>
    <t>ZAAUTO2024-1-00121</t>
  </si>
  <si>
    <t>BOR-213844</t>
  </si>
  <si>
    <t>ZAAUTO2024-1-00122</t>
  </si>
  <si>
    <t>BOR-977857</t>
  </si>
  <si>
    <t>ZAAUTO2024-1-00123</t>
  </si>
  <si>
    <t>BOR-605904</t>
  </si>
  <si>
    <t>ZAAUTO2024-1-00124</t>
  </si>
  <si>
    <t>BOR-859687</t>
  </si>
  <si>
    <t>Venue</t>
  </si>
  <si>
    <t>ZAAUTO2024-1-00125</t>
  </si>
  <si>
    <t>BOR-686273</t>
  </si>
  <si>
    <t>Amaze</t>
  </si>
  <si>
    <t>ZAAUTO2024-1-00126</t>
  </si>
  <si>
    <t>BOR-431067</t>
  </si>
  <si>
    <t>Gloster</t>
  </si>
  <si>
    <t>ZAAUTO2024-1-00127</t>
  </si>
  <si>
    <t>BOR-795650</t>
  </si>
  <si>
    <t>ZAAUTO2024-1-00128</t>
  </si>
  <si>
    <t>BOR-479167</t>
  </si>
  <si>
    <t>ZAAUTO2024-1-00129</t>
  </si>
  <si>
    <t>BOR-990649</t>
  </si>
  <si>
    <t>ZAAUTO2024-1-00130</t>
  </si>
  <si>
    <t>BOR-182216</t>
  </si>
  <si>
    <t>ZAAUTO2024-1-00131</t>
  </si>
  <si>
    <t>BOR-675074</t>
  </si>
  <si>
    <t>ZAAUTO2024-1-00132</t>
  </si>
  <si>
    <t>BOR-659713</t>
  </si>
  <si>
    <t>ZAAUTO2024-1-00133</t>
  </si>
  <si>
    <t>BOR-183057</t>
  </si>
  <si>
    <t>ZAAUTO2024-1-00134</t>
  </si>
  <si>
    <t>BOR-489438</t>
  </si>
  <si>
    <t>ZAAUTO2024-1-00135</t>
  </si>
  <si>
    <t>BOR-228074</t>
  </si>
  <si>
    <t>ZAAUTO2024-1-00136</t>
  </si>
  <si>
    <t>BOR-944654</t>
  </si>
  <si>
    <t>ZAAUTO2024-1-00137</t>
  </si>
  <si>
    <t>BOR-750324</t>
  </si>
  <si>
    <t>ZAAUTO2024-1-00138</t>
  </si>
  <si>
    <t>BOR-174316</t>
  </si>
  <si>
    <t>ZAAUTO2024-1-00139</t>
  </si>
  <si>
    <t>BOR-807256</t>
  </si>
  <si>
    <t>ZAAUTO2024-1-00140</t>
  </si>
  <si>
    <t>BOR-416503</t>
  </si>
  <si>
    <t>ZAAUTO2024-1-00141</t>
  </si>
  <si>
    <t>BOR-500080</t>
  </si>
  <si>
    <t>ZAAUTO2024-1-00142</t>
  </si>
  <si>
    <t>BOR-151706</t>
  </si>
  <si>
    <t>ZAAUTO2024-1-00143</t>
  </si>
  <si>
    <t>BOR-563690</t>
  </si>
  <si>
    <t>ZAAUTO2024-1-00144</t>
  </si>
  <si>
    <t>BOR-145594</t>
  </si>
  <si>
    <t>ZAAUTO2024-1-00145</t>
  </si>
  <si>
    <t>BOR-625600</t>
  </si>
  <si>
    <t>ZAAUTO2024-1-00146</t>
  </si>
  <si>
    <t>BOR-907455</t>
  </si>
  <si>
    <t>ZAAUTO2024-1-00147</t>
  </si>
  <si>
    <t>BOR-599753</t>
  </si>
  <si>
    <t>ZAAUTO2024-1-00148</t>
  </si>
  <si>
    <t>BOR-699716</t>
  </si>
  <si>
    <t>ZAAUTO2024-1-00149</t>
  </si>
  <si>
    <t>BOR-847251</t>
  </si>
  <si>
    <t>ZAAUTO2024-1-00150</t>
  </si>
  <si>
    <t>BOR-902575</t>
  </si>
  <si>
    <t>ZAAUTO2024-1-00151</t>
  </si>
  <si>
    <t>BOR-793029</t>
  </si>
  <si>
    <t>ZAAUTO2024-1-00152</t>
  </si>
  <si>
    <t>BOR-372273</t>
  </si>
  <si>
    <t>ZAAUTO2024-1-00153</t>
  </si>
  <si>
    <t>BOR-745915</t>
  </si>
  <si>
    <t>ZAAUTO2024-1-00154</t>
  </si>
  <si>
    <t>BOR-508489</t>
  </si>
  <si>
    <t>ZAAUTO2024-1-00155</t>
  </si>
  <si>
    <t>BOR-859767</t>
  </si>
  <si>
    <t>ZAAUTO2024-1-00156</t>
  </si>
  <si>
    <t>BOR-838568</t>
  </si>
  <si>
    <t>ZAAUTO2024-1-00157</t>
  </si>
  <si>
    <t>BOR-775721</t>
  </si>
  <si>
    <t>ZAAUTO2024-1-00158</t>
  </si>
  <si>
    <t>BOR-502460</t>
  </si>
  <si>
    <t>ZAAUTO2024-1-00159</t>
  </si>
  <si>
    <t>BOR-574978</t>
  </si>
  <si>
    <t>ZAAUTO2024-1-00160</t>
  </si>
  <si>
    <t>BOR-556329</t>
  </si>
  <si>
    <t>ZAAUTO2024-1-00161</t>
  </si>
  <si>
    <t>BOR-733941</t>
  </si>
  <si>
    <t>ZAAUTO2024-1-00162</t>
  </si>
  <si>
    <t>BOR-576089</t>
  </si>
  <si>
    <t>ZAAUTO2024-1-00163</t>
  </si>
  <si>
    <t>BOR-216968</t>
  </si>
  <si>
    <t>ZAAUTO2024-1-00164</t>
  </si>
  <si>
    <t>BOR-599365</t>
  </si>
  <si>
    <t>ZAAUTO2024-1-00165</t>
  </si>
  <si>
    <t>BOR-304394</t>
  </si>
  <si>
    <t>ZAAUTO2024-1-00166</t>
  </si>
  <si>
    <t>BOR-389809</t>
  </si>
  <si>
    <t>ZAAUTO2024-1-00167</t>
  </si>
  <si>
    <t>BOR-834061</t>
  </si>
  <si>
    <t>ZAAUTO2024-1-00168</t>
  </si>
  <si>
    <t>BOR-413388</t>
  </si>
  <si>
    <t>ZAAUTO2024-1-00169</t>
  </si>
  <si>
    <t>BOR-785592</t>
  </si>
  <si>
    <t>ZAAUTO2024-1-00170</t>
  </si>
  <si>
    <t>BOR-894348</t>
  </si>
  <si>
    <t>ZAAUTO2024-1-00171</t>
  </si>
  <si>
    <t>BOR-347085</t>
  </si>
  <si>
    <t>ZAAUTO2024-1-00172</t>
  </si>
  <si>
    <t>BOR-346729</t>
  </si>
  <si>
    <t>ZAAUTO2024-1-00173</t>
  </si>
  <si>
    <t>BOR-409499</t>
  </si>
  <si>
    <t>ZAAUTO2024-1-00174</t>
  </si>
  <si>
    <t>BOR-202759</t>
  </si>
  <si>
    <t>ZAAUTO2024-1-00175</t>
  </si>
  <si>
    <t>BOR-382894</t>
  </si>
  <si>
    <t>ZAAUTO2024-1-00176</t>
  </si>
  <si>
    <t>BOR-609845</t>
  </si>
  <si>
    <t>ZAAUTO2024-1-00177</t>
  </si>
  <si>
    <t>BOR-405677</t>
  </si>
  <si>
    <t>ZAAUTO2024-1-00178</t>
  </si>
  <si>
    <t>BOR-798724</t>
  </si>
  <si>
    <t>ZAAUTO2024-1-00179</t>
  </si>
  <si>
    <t>BOR-863933</t>
  </si>
  <si>
    <t>ZAAUTO2024-1-00180</t>
  </si>
  <si>
    <t>BOR-548413</t>
  </si>
  <si>
    <t>ZAAUTO2024-1-00181</t>
  </si>
  <si>
    <t>BOR-680771</t>
  </si>
  <si>
    <t>ZAAUTO2024-1-00182</t>
  </si>
  <si>
    <t>BOR-986340</t>
  </si>
  <si>
    <t>ZAAUTO2024-1-00183</t>
  </si>
  <si>
    <t>BOR-491133</t>
  </si>
  <si>
    <t>ZAAUTO2024-1-00184</t>
  </si>
  <si>
    <t>BOR-821469</t>
  </si>
  <si>
    <t>ZAAUTO2024-1-00185</t>
  </si>
  <si>
    <t>BOR-268356</t>
  </si>
  <si>
    <t>ZAAUTO2024-1-00186</t>
  </si>
  <si>
    <t>BOR-619900</t>
  </si>
  <si>
    <t>ZAAUTO2024-1-00187</t>
  </si>
  <si>
    <t>BOR-276919</t>
  </si>
  <si>
    <t>ZAAUTO2024-1-00188</t>
  </si>
  <si>
    <t>BOR-287795</t>
  </si>
  <si>
    <t>ZAAUTO2024-1-00189</t>
  </si>
  <si>
    <t>BOR-611133</t>
  </si>
  <si>
    <t>ZAAUTO2024-1-00190</t>
  </si>
  <si>
    <t>BOR-168681</t>
  </si>
  <si>
    <t>ZAAUTO2024-1-00191</t>
  </si>
  <si>
    <t>BOR-701380</t>
  </si>
  <si>
    <t>ZAAUTO2024-1-00192</t>
  </si>
  <si>
    <t>BOR-589994</t>
  </si>
  <si>
    <t>ZAAUTO2024-1-00193</t>
  </si>
  <si>
    <t>BOR-130557</t>
  </si>
  <si>
    <t>ZAAUTO2024-1-00194</t>
  </si>
  <si>
    <t>BOR-508892</t>
  </si>
  <si>
    <t>ZAAUTO2024-1-00195</t>
  </si>
  <si>
    <t>BOR-769986</t>
  </si>
  <si>
    <t>ZAAUTO2024-1-00196</t>
  </si>
  <si>
    <t>BOR-128679</t>
  </si>
  <si>
    <t>ZAAUTO2024-1-00197</t>
  </si>
  <si>
    <t>BOR-778540</t>
  </si>
  <si>
    <t>ZAAUTO2024-1-00198</t>
  </si>
  <si>
    <t>BOR-810083</t>
  </si>
  <si>
    <t>ZAAUTO2024-1-00199</t>
  </si>
  <si>
    <t>BOR-417201</t>
  </si>
  <si>
    <t>ZAAUTO2024-1-00200</t>
  </si>
  <si>
    <t>BOR-900771</t>
  </si>
  <si>
    <t>ZAAUTO2024-1-00201</t>
  </si>
  <si>
    <t>BOR-536646</t>
  </si>
  <si>
    <t>ZAAUTO2024-1-00202</t>
  </si>
  <si>
    <t>BOR-731548</t>
  </si>
  <si>
    <t>ZAAUTO2024-1-00203</t>
  </si>
  <si>
    <t>BOR-335122</t>
  </si>
  <si>
    <t>ZAAUTO2024-1-00204</t>
  </si>
  <si>
    <t>BOR-924366</t>
  </si>
  <si>
    <t>ZAAUTO2024-1-00205</t>
  </si>
  <si>
    <t>BOR-823825</t>
  </si>
  <si>
    <t>ZAAUTO2024-1-00206</t>
  </si>
  <si>
    <t>BOR-847732</t>
  </si>
  <si>
    <t>ZAAUTO2024-1-00207</t>
  </si>
  <si>
    <t>BOR-330374</t>
  </si>
  <si>
    <t>ZAAUTO2024-1-00208</t>
  </si>
  <si>
    <t>BOR-968167</t>
  </si>
  <si>
    <t>ZAAUTO2024-1-00209</t>
  </si>
  <si>
    <t>BOR-264660</t>
  </si>
  <si>
    <t>ZAAUTO2024-1-00210</t>
  </si>
  <si>
    <t>BOR-852485</t>
  </si>
  <si>
    <t>ZAAUTO2024-1-00211</t>
  </si>
  <si>
    <t>BOR-831351</t>
  </si>
  <si>
    <t>ZAAUTO2024-1-00212</t>
  </si>
  <si>
    <t>BOR-575159</t>
  </si>
  <si>
    <t>ZAAUTO2024-1-00213</t>
  </si>
  <si>
    <t>BOR-513959</t>
  </si>
  <si>
    <t>ZAAUTO2024-1-00214</t>
  </si>
  <si>
    <t>BOR-718265</t>
  </si>
  <si>
    <t>ZAAUTO2024-1-00215</t>
  </si>
  <si>
    <t>BOR-514603</t>
  </si>
  <si>
    <t>ZAAUTO2024-1-00216</t>
  </si>
  <si>
    <t>BOR-736333</t>
  </si>
  <si>
    <t>ZAAUTO2024-1-00217</t>
  </si>
  <si>
    <t>BOR-967949</t>
  </si>
  <si>
    <t>ZAAUTO2024-1-00218</t>
  </si>
  <si>
    <t>BOR-682119</t>
  </si>
  <si>
    <t>ZAAUTO2024-1-00219</t>
  </si>
  <si>
    <t>BOR-386275</t>
  </si>
  <si>
    <t>ZAAUTO2024-1-00220</t>
  </si>
  <si>
    <t>BOR-302365</t>
  </si>
  <si>
    <t>ZAAUTO2024-1-00221</t>
  </si>
  <si>
    <t>BOR-826648</t>
  </si>
  <si>
    <t>ZAAUTO2024-1-00222</t>
  </si>
  <si>
    <t>BOR-125190</t>
  </si>
  <si>
    <t>ZAAUTO2024-1-00223</t>
  </si>
  <si>
    <t>BOR-521195</t>
  </si>
  <si>
    <t>Wagon R</t>
  </si>
  <si>
    <t>ZAAUTO2024-1-00224</t>
  </si>
  <si>
    <t>BOR-233882</t>
  </si>
  <si>
    <t>ZAAUTO2024-1-00225</t>
  </si>
  <si>
    <t>BOR-414186</t>
  </si>
  <si>
    <t>ZAAUTO2024-1-00226</t>
  </si>
  <si>
    <t>BOR-305507</t>
  </si>
  <si>
    <t>ZAAUTO2024-1-00227</t>
  </si>
  <si>
    <t>BOR-715855</t>
  </si>
  <si>
    <t>ZAAUTO2024-1-00228</t>
  </si>
  <si>
    <t>BOR-312861</t>
  </si>
  <si>
    <t>ZAAUTO2024-1-00229</t>
  </si>
  <si>
    <t>BOR-203189</t>
  </si>
  <si>
    <t>ZAAUTO2024-1-00230</t>
  </si>
  <si>
    <t>BOR-583814</t>
  </si>
  <si>
    <t>Safari</t>
  </si>
  <si>
    <t>ZAAUTO2024-1-00231</t>
  </si>
  <si>
    <t>BOR-737363</t>
  </si>
  <si>
    <t>ZAAUTO2024-1-00232</t>
  </si>
  <si>
    <t>BOR-879241</t>
  </si>
  <si>
    <t>ZAAUTO2024-1-00233</t>
  </si>
  <si>
    <t>BOR-991125</t>
  </si>
  <si>
    <t>ZAAUTO2024-1-00234</t>
  </si>
  <si>
    <t>BOR-997343</t>
  </si>
  <si>
    <t>ZAAUTO2024-1-00235</t>
  </si>
  <si>
    <t>BOR-658155</t>
  </si>
  <si>
    <t>ZAAUTO2024-1-00236</t>
  </si>
  <si>
    <t>BOR-317180</t>
  </si>
  <si>
    <t>ZAAUTO2024-1-00237</t>
  </si>
  <si>
    <t>BOR-827418</t>
  </si>
  <si>
    <t>Harrier</t>
  </si>
  <si>
    <t>ZAAUTO2024-1-00238</t>
  </si>
  <si>
    <t>BOR-444656</t>
  </si>
  <si>
    <t>ZAAUTO2024-1-00239</t>
  </si>
  <si>
    <t>BOR-589762</t>
  </si>
  <si>
    <t>ZAAUTO2024-1-00240</t>
  </si>
  <si>
    <t>BOR-575637</t>
  </si>
  <si>
    <t>ZAAUTO2024-1-00241</t>
  </si>
  <si>
    <t>BOR-465511</t>
  </si>
  <si>
    <t>ZAAUTO2024-1-00242</t>
  </si>
  <si>
    <t>BOR-825443</t>
  </si>
  <si>
    <t>ZAAUTO2024-1-00243</t>
  </si>
  <si>
    <t>BOR-294655</t>
  </si>
  <si>
    <t>ZAAUTO2024-1-00244</t>
  </si>
  <si>
    <t>BOR-550314</t>
  </si>
  <si>
    <t>ZAAUTO2024-1-00245</t>
  </si>
  <si>
    <t>BOR-147976</t>
  </si>
  <si>
    <t>ZAAUTO2024-1-00246</t>
  </si>
  <si>
    <t>BOR-889842</t>
  </si>
  <si>
    <t>ZAAUTO2024-1-00247</t>
  </si>
  <si>
    <t>BOR-297296</t>
  </si>
  <si>
    <t>ZAAUTO2024-1-00248</t>
  </si>
  <si>
    <t>BOR-822049</t>
  </si>
  <si>
    <t>ZAAUTO2024-1-00249</t>
  </si>
  <si>
    <t>BOR-396080</t>
  </si>
  <si>
    <t>ZAAUTO2024-1-00250</t>
  </si>
  <si>
    <t>BOR-857649</t>
  </si>
  <si>
    <t>ZAAUTO2024-1-00251</t>
  </si>
  <si>
    <t>BOR-412856</t>
  </si>
  <si>
    <t>ZAAUTO2024-1-00252</t>
  </si>
  <si>
    <t>BOR-670873</t>
  </si>
  <si>
    <t>ZAAUTO2024-1-00253</t>
  </si>
  <si>
    <t>BOR-864521</t>
  </si>
  <si>
    <t>ZAAUTO2024-1-00254</t>
  </si>
  <si>
    <t>BOR-449718</t>
  </si>
  <si>
    <t>ZAAUTO2024-1-00255</t>
  </si>
  <si>
    <t>BOR-109958</t>
  </si>
  <si>
    <t>ZAAUTO2024-1-00256</t>
  </si>
  <si>
    <t>BOR-160200</t>
  </si>
  <si>
    <t>ZAAUTO2024-1-00257</t>
  </si>
  <si>
    <t>BOR-153379</t>
  </si>
  <si>
    <t>ZAAUTO2024-1-00258</t>
  </si>
  <si>
    <t>BOR-466709</t>
  </si>
  <si>
    <t>ZAAUTO2024-1-00259</t>
  </si>
  <si>
    <t>BOR-240173</t>
  </si>
  <si>
    <t>ZAAUTO2024-1-00260</t>
  </si>
  <si>
    <t>BOR-259903</t>
  </si>
  <si>
    <t>ZAAUTO2024-1-00261</t>
  </si>
  <si>
    <t>BOR-634630</t>
  </si>
  <si>
    <t>ZAAUTO2024-1-00262</t>
  </si>
  <si>
    <t>BOR-320235</t>
  </si>
  <si>
    <t>ZAAUTO2024-1-00263</t>
  </si>
  <si>
    <t>BOR-929303</t>
  </si>
  <si>
    <t>ZAAUTO2024-1-00264</t>
  </si>
  <si>
    <t>BOR-406019</t>
  </si>
  <si>
    <t>ZAAUTO2024-1-00265</t>
  </si>
  <si>
    <t>BOR-918427</t>
  </si>
  <si>
    <t>ZAAUTO2024-1-00266</t>
  </si>
  <si>
    <t>BOR-357167</t>
  </si>
  <si>
    <t>ZAAUTO2024-1-00267</t>
  </si>
  <si>
    <t>BOR-158589</t>
  </si>
  <si>
    <t>ZAAUTO2024-1-00268</t>
  </si>
  <si>
    <t>BOR-188923</t>
  </si>
  <si>
    <t>ZAAUTO2024-1-00269</t>
  </si>
  <si>
    <t>BOR-194840</t>
  </si>
  <si>
    <t>ZAAUTO2024-1-00270</t>
  </si>
  <si>
    <t>BOR-215507</t>
  </si>
  <si>
    <t>ZAAUTO2024-1-00271</t>
  </si>
  <si>
    <t>BOR-953238</t>
  </si>
  <si>
    <t>ZAAUTO2024-1-00272</t>
  </si>
  <si>
    <t>BOR-322155</t>
  </si>
  <si>
    <t>ZAAUTO2024-1-00273</t>
  </si>
  <si>
    <t>BOR-697817</t>
  </si>
  <si>
    <t>ZAAUTO2024-1-00274</t>
  </si>
  <si>
    <t>BOR-785999</t>
  </si>
  <si>
    <t>ZAAUTO2024-1-00275</t>
  </si>
  <si>
    <t>BOR-470533</t>
  </si>
  <si>
    <t>ZAAUTO2024-1-00276</t>
  </si>
  <si>
    <t>BOR-265890</t>
  </si>
  <si>
    <t>ZAAUTO2024-1-00277</t>
  </si>
  <si>
    <t>BOR-730275</t>
  </si>
  <si>
    <t>ZAAUTO2024-1-00278</t>
  </si>
  <si>
    <t>BOR-921934</t>
  </si>
  <si>
    <t>ZAAUTO2024-1-00279</t>
  </si>
  <si>
    <t>BOR-274169</t>
  </si>
  <si>
    <t>ZAAUTO2024-1-00280</t>
  </si>
  <si>
    <t>BOR-813327</t>
  </si>
  <si>
    <t>ZAAUTO2024-1-00281</t>
  </si>
  <si>
    <t>BOR-790677</t>
  </si>
  <si>
    <t>ZAAUTO2024-1-00282</t>
  </si>
  <si>
    <t>BOR-204415</t>
  </si>
  <si>
    <t>ZAAUTO2024-1-00283</t>
  </si>
  <si>
    <t>BOR-496473</t>
  </si>
  <si>
    <t>ZAAUTO2024-1-00284</t>
  </si>
  <si>
    <t>BOR-761875</t>
  </si>
  <si>
    <t>ZAAUTO2024-1-00285</t>
  </si>
  <si>
    <t>BOR-302432</t>
  </si>
  <si>
    <t>ZAAUTO2024-1-00286</t>
  </si>
  <si>
    <t>BOR-656267</t>
  </si>
  <si>
    <t>ZAAUTO2024-1-00287</t>
  </si>
  <si>
    <t>BOR-306698</t>
  </si>
  <si>
    <t>ZAAUTO2024-1-00288</t>
  </si>
  <si>
    <t>BOR-830288</t>
  </si>
  <si>
    <t>ZAAUTO2024-1-00289</t>
  </si>
  <si>
    <t>BOR-244455</t>
  </si>
  <si>
    <t>ZAAUTO2024-1-00290</t>
  </si>
  <si>
    <t>BOR-209612</t>
  </si>
  <si>
    <t>ZAAUTO2024-1-00291</t>
  </si>
  <si>
    <t>BOR-794037</t>
  </si>
  <si>
    <t>ZAAUTO2024-1-00292</t>
  </si>
  <si>
    <t>BOR-350365</t>
  </si>
  <si>
    <t>ZAAUTO2024-1-00293</t>
  </si>
  <si>
    <t>BOR-548709</t>
  </si>
  <si>
    <t>ZAAUTO2024-1-00294</t>
  </si>
  <si>
    <t>BOR-642985</t>
  </si>
  <si>
    <t>ZAAUTO2024-1-00295</t>
  </si>
  <si>
    <t>BOR-228934</t>
  </si>
  <si>
    <t>ZAAUTO2024-1-00296</t>
  </si>
  <si>
    <t>BOR-868661</t>
  </si>
  <si>
    <t>ZAAUTO2024-1-00297</t>
  </si>
  <si>
    <t>BOR-292279</t>
  </si>
  <si>
    <t>ZAAUTO2024-1-00298</t>
  </si>
  <si>
    <t>BOR-383298</t>
  </si>
  <si>
    <t>ZAAUTO2024-1-00299</t>
  </si>
  <si>
    <t>BOR-509693</t>
  </si>
  <si>
    <t>ZAAUTO2024-1-00300</t>
  </si>
  <si>
    <t>BOR-129329</t>
  </si>
  <si>
    <t>ZAAUTO2024-1-00301</t>
  </si>
  <si>
    <t>BOR-417645</t>
  </si>
  <si>
    <t>ZAAUTO2024-1-00302</t>
  </si>
  <si>
    <t>BOR-362651</t>
  </si>
  <si>
    <t>ZAAUTO2024-1-00303</t>
  </si>
  <si>
    <t>BOR-815507</t>
  </si>
  <si>
    <t>ZAAUTO2024-1-00304</t>
  </si>
  <si>
    <t>BOR-994640</t>
  </si>
  <si>
    <t>ZAAUTO2024-1-00305</t>
  </si>
  <si>
    <t>BOR-137329</t>
  </si>
  <si>
    <t>ZAAUTO2024-1-00306</t>
  </si>
  <si>
    <t>BOR-883785</t>
  </si>
  <si>
    <t>ZAAUTO2024-1-00307</t>
  </si>
  <si>
    <t>BOR-831666</t>
  </si>
  <si>
    <t>ZAAUTO2024-1-00308</t>
  </si>
  <si>
    <t>BOR-503348</t>
  </si>
  <si>
    <t>ZAAUTO2024-1-00309</t>
  </si>
  <si>
    <t>BOR-906367</t>
  </si>
  <si>
    <t>ZAAUTO2024-1-00310</t>
  </si>
  <si>
    <t>BOR-768722</t>
  </si>
  <si>
    <t>ZAAUTO2024-1-00311</t>
  </si>
  <si>
    <t>BOR-631562</t>
  </si>
  <si>
    <t>ZAAUTO2024-1-00312</t>
  </si>
  <si>
    <t>BOR-788976</t>
  </si>
  <si>
    <t>ZAAUTO2024-1-00313</t>
  </si>
  <si>
    <t>BOR-630205</t>
  </si>
  <si>
    <t>ZAAUTO2024-1-00314</t>
  </si>
  <si>
    <t>BOR-176561</t>
  </si>
  <si>
    <t>Brezza</t>
  </si>
  <si>
    <t>ZAAUTO2024-1-00315</t>
  </si>
  <si>
    <t>BOR-575557</t>
  </si>
  <si>
    <t>ZAAUTO2024-1-00316</t>
  </si>
  <si>
    <t>BOR-735615</t>
  </si>
  <si>
    <t>ZAAUTO2024-1-00317</t>
  </si>
  <si>
    <t>BOR-880431</t>
  </si>
  <si>
    <t>ZAAUTO2024-1-00318</t>
  </si>
  <si>
    <t>BOR-641386</t>
  </si>
  <si>
    <t>ZAAUTO2024-1-00319</t>
  </si>
  <si>
    <t>BOR-219051</t>
  </si>
  <si>
    <t>ZAAUTO2024-1-00320</t>
  </si>
  <si>
    <t>BOR-445698</t>
  </si>
  <si>
    <t>ZAAUTO2024-1-00321</t>
  </si>
  <si>
    <t>BOR-359322</t>
  </si>
  <si>
    <t>ZAAUTO2024-1-00322</t>
  </si>
  <si>
    <t>BOR-837022</t>
  </si>
  <si>
    <t>ZAAUTO2024-1-00323</t>
  </si>
  <si>
    <t>BOR-531865</t>
  </si>
  <si>
    <t>ZAAUTO2024-1-00324</t>
  </si>
  <si>
    <t>BOR-650071</t>
  </si>
  <si>
    <t>ZAAUTO2024-1-00325</t>
  </si>
  <si>
    <t>BOR-105874</t>
  </si>
  <si>
    <t>ZAAUTO2024-1-00326</t>
  </si>
  <si>
    <t>BOR-207292</t>
  </si>
  <si>
    <t>ZAAUTO2024-1-00327</t>
  </si>
  <si>
    <t>BOR-979387</t>
  </si>
  <si>
    <t>ZAAUTO2024-1-00328</t>
  </si>
  <si>
    <t>BOR-198679</t>
  </si>
  <si>
    <t>ZAAUTO2024-1-00329</t>
  </si>
  <si>
    <t>BOR-564915</t>
  </si>
  <si>
    <t>ZAAUTO2024-1-00330</t>
  </si>
  <si>
    <t>BOR-223432</t>
  </si>
  <si>
    <t>ZAAUTO2024-1-00331</t>
  </si>
  <si>
    <t>BOR-386050</t>
  </si>
  <si>
    <t>ZAAUTO2024-1-00332</t>
  </si>
  <si>
    <t>BOR-490366</t>
  </si>
  <si>
    <t>ZAAUTO2024-1-00333</t>
  </si>
  <si>
    <t>BOR-631586</t>
  </si>
  <si>
    <t>ZAAUTO2024-1-00334</t>
  </si>
  <si>
    <t>BOR-859309</t>
  </si>
  <si>
    <t>ZAAUTO2024-1-00335</t>
  </si>
  <si>
    <t>BOR-456359</t>
  </si>
  <si>
    <t>ZAAUTO2024-1-00336</t>
  </si>
  <si>
    <t>BOR-631597</t>
  </si>
  <si>
    <t>ZAAUTO2024-1-00337</t>
  </si>
  <si>
    <t>BOR-613405</t>
  </si>
  <si>
    <t>ZAAUTO2024-1-00338</t>
  </si>
  <si>
    <t>BOR-442452</t>
  </si>
  <si>
    <t>ZAAUTO2024-1-00339</t>
  </si>
  <si>
    <t>BOR-733992</t>
  </si>
  <si>
    <t>ZAAUTO2024-1-00340</t>
  </si>
  <si>
    <t>BOR-259151</t>
  </si>
  <si>
    <t>ZAAUTO2024-1-00341</t>
  </si>
  <si>
    <t>BOR-663706</t>
  </si>
  <si>
    <t>ZAAUTO2024-1-00342</t>
  </si>
  <si>
    <t>BOR-519487</t>
  </si>
  <si>
    <t>ZAAUTO2024-1-00343</t>
  </si>
  <si>
    <t>BOR-595104</t>
  </si>
  <si>
    <t>ZAAUTO2024-1-00344</t>
  </si>
  <si>
    <t>BOR-124872</t>
  </si>
  <si>
    <t>ZAAUTO2024-1-00345</t>
  </si>
  <si>
    <t>BOR-459077</t>
  </si>
  <si>
    <t>ZAAUTO2024-1-00346</t>
  </si>
  <si>
    <t>BOR-112652</t>
  </si>
  <si>
    <t>ZAAUTO2024-1-00347</t>
  </si>
  <si>
    <t>BOR-481220</t>
  </si>
  <si>
    <t>ZAAUTO2024-1-00348</t>
  </si>
  <si>
    <t>BOR-338641</t>
  </si>
  <si>
    <t>ZAAUTO2024-1-00349</t>
  </si>
  <si>
    <t>BOR-606755</t>
  </si>
  <si>
    <t>ZAAUTO2024-1-00350</t>
  </si>
  <si>
    <t>BOR-739135</t>
  </si>
  <si>
    <t>ZAAUTO2024-1-00351</t>
  </si>
  <si>
    <t>BOR-777162</t>
  </si>
  <si>
    <t>ZAAUTO2024-1-00352</t>
  </si>
  <si>
    <t>BOR-714585</t>
  </si>
  <si>
    <t>ZAAUTO2024-1-00353</t>
  </si>
  <si>
    <t>BOR-449188</t>
  </si>
  <si>
    <t>ZAAUTO2024-1-00354</t>
  </si>
  <si>
    <t>BOR-300160</t>
  </si>
  <si>
    <t>ZAAUTO2024-1-00355</t>
  </si>
  <si>
    <t>BOR-659333</t>
  </si>
  <si>
    <t>ZAAUTO2024-1-00356</t>
  </si>
  <si>
    <t>BOR-641585</t>
  </si>
  <si>
    <t>ZAAUTO2024-1-00357</t>
  </si>
  <si>
    <t>BOR-865071</t>
  </si>
  <si>
    <t>ZAAUTO2024-1-00358</t>
  </si>
  <si>
    <t>BOR-127084</t>
  </si>
  <si>
    <t>ZAAUTO2024-1-00359</t>
  </si>
  <si>
    <t>BOR-993353</t>
  </si>
  <si>
    <t>ZAAUTO2024-1-00360</t>
  </si>
  <si>
    <t>BOR-762574</t>
  </si>
  <si>
    <t>ZAAUTO2024-1-00361</t>
  </si>
  <si>
    <t>BOR-644287</t>
  </si>
  <si>
    <t>ZAAUTO2024-1-00362</t>
  </si>
  <si>
    <t>BOR-939133</t>
  </si>
  <si>
    <t>ZAAUTO2024-1-00363</t>
  </si>
  <si>
    <t>BOR-604293</t>
  </si>
  <si>
    <t>ZAAUTO2024-1-00364</t>
  </si>
  <si>
    <t>BOR-890888</t>
  </si>
  <si>
    <t>ZAAUTO2024-1-00365</t>
  </si>
  <si>
    <t>BOR-473986</t>
  </si>
  <si>
    <t>ZAAUTO2024-1-00366</t>
  </si>
  <si>
    <t>BOR-993631</t>
  </si>
  <si>
    <t>ZAAUTO2024-1-00367</t>
  </si>
  <si>
    <t>BOR-624116</t>
  </si>
  <si>
    <t>ZAAUTO2024-1-00368</t>
  </si>
  <si>
    <t>BOR-727016</t>
  </si>
  <si>
    <t>ZAAUTO2024-1-00369</t>
  </si>
  <si>
    <t>BOR-560272</t>
  </si>
  <si>
    <t>ZAAUTO2024-1-00370</t>
  </si>
  <si>
    <t>BOR-680987</t>
  </si>
  <si>
    <t>ZAAUTO2024-1-00371</t>
  </si>
  <si>
    <t>BOR-419460</t>
  </si>
  <si>
    <t>ZAAUTO2024-1-00372</t>
  </si>
  <si>
    <t>BOR-988422</t>
  </si>
  <si>
    <t>ZAAUTO2024-1-00373</t>
  </si>
  <si>
    <t>BOR-290617</t>
  </si>
  <si>
    <t>ZAAUTO2024-1-00374</t>
  </si>
  <si>
    <t>BOR-790474</t>
  </si>
  <si>
    <t>ZAAUTO2024-1-00375</t>
  </si>
  <si>
    <t>BOR-614290</t>
  </si>
  <si>
    <t>ZAAUTO2024-1-00376</t>
  </si>
  <si>
    <t>BOR-286950</t>
  </si>
  <si>
    <t>ZAAUTO2024-1-00377</t>
  </si>
  <si>
    <t>BOR-756608</t>
  </si>
  <si>
    <t>ZAAUTO2024-1-00378</t>
  </si>
  <si>
    <t>BOR-997065</t>
  </si>
  <si>
    <t>ZAAUTO2024-1-00379</t>
  </si>
  <si>
    <t>BOR-284055</t>
  </si>
  <si>
    <t>ZAAUTO2024-1-00380</t>
  </si>
  <si>
    <t>BOR-208834</t>
  </si>
  <si>
    <t>ZAAUTO2024-1-00381</t>
  </si>
  <si>
    <t>BOR-121954</t>
  </si>
  <si>
    <t>ZAAUTO2024-1-00382</t>
  </si>
  <si>
    <t>BOR-248196</t>
  </si>
  <si>
    <t>ZAAUTO2024-1-00383</t>
  </si>
  <si>
    <t>BOR-742069</t>
  </si>
  <si>
    <t>ZAAUTO2024-1-00384</t>
  </si>
  <si>
    <t>BOR-759221</t>
  </si>
  <si>
    <t>ZAAUTO2024-1-00385</t>
  </si>
  <si>
    <t>BOR-801396</t>
  </si>
  <si>
    <t>ZAAUTO2024-1-00386</t>
  </si>
  <si>
    <t>BOR-498476</t>
  </si>
  <si>
    <t>ZAAUTO2024-1-00387</t>
  </si>
  <si>
    <t>BOR-457705</t>
  </si>
  <si>
    <t>ZAAUTO2024-1-00388</t>
  </si>
  <si>
    <t>BOR-307324</t>
  </si>
  <si>
    <t>ZAAUTO2024-1-00389</t>
  </si>
  <si>
    <t>BOR-433864</t>
  </si>
  <si>
    <t>ZAAUTO2024-1-00390</t>
  </si>
  <si>
    <t>BOR-929816</t>
  </si>
  <si>
    <t>ZAAUTO2024-1-00391</t>
  </si>
  <si>
    <t>BOR-113597</t>
  </si>
  <si>
    <t>ZAAUTO2024-1-00392</t>
  </si>
  <si>
    <t>BOR-721632</t>
  </si>
  <si>
    <t>ZAAUTO2024-1-00393</t>
  </si>
  <si>
    <t>BOR-429429</t>
  </si>
  <si>
    <t>ZAAUTO2024-1-00394</t>
  </si>
  <si>
    <t>BOR-389353</t>
  </si>
  <si>
    <t>ZAAUTO2024-1-00395</t>
  </si>
  <si>
    <t>BOR-848529</t>
  </si>
  <si>
    <t>ZAAUTO2024-1-00396</t>
  </si>
  <si>
    <t>BOR-892684</t>
  </si>
  <si>
    <t>ZAAUTO2024-1-00397</t>
  </si>
  <si>
    <t>BOR-224956</t>
  </si>
  <si>
    <t>ZAAUTO2024-1-00398</t>
  </si>
  <si>
    <t>BOR-890478</t>
  </si>
  <si>
    <t>ZAAUTO2024-1-00399</t>
  </si>
  <si>
    <t>BOR-939444</t>
  </si>
  <si>
    <t>ZAAUTO2024-1-00400</t>
  </si>
  <si>
    <t>BOR-312544</t>
  </si>
  <si>
    <t>Repossessed</t>
  </si>
  <si>
    <t>ZAAUTO2024-1-00401</t>
  </si>
  <si>
    <t>BOR-552682</t>
  </si>
  <si>
    <t>ZAAUTO2024-1-00402</t>
  </si>
  <si>
    <t>BOR-788801</t>
  </si>
  <si>
    <t>ZAAUTO2024-1-00403</t>
  </si>
  <si>
    <t>BOR-474880</t>
  </si>
  <si>
    <t>ZAAUTO2024-1-00404</t>
  </si>
  <si>
    <t>BOR-186994</t>
  </si>
  <si>
    <t>ZAAUTO2024-1-00405</t>
  </si>
  <si>
    <t>BOR-730320</t>
  </si>
  <si>
    <t>ZAAUTO2024-1-00406</t>
  </si>
  <si>
    <t>BOR-842820</t>
  </si>
  <si>
    <t>ZAAUTO2024-1-00407</t>
  </si>
  <si>
    <t>BOR-111737</t>
  </si>
  <si>
    <t>ZAAUTO2024-1-00408</t>
  </si>
  <si>
    <t>BOR-336288</t>
  </si>
  <si>
    <t>ZAAUTO2024-1-00409</t>
  </si>
  <si>
    <t>BOR-390863</t>
  </si>
  <si>
    <t>ZAAUTO2024-1-00410</t>
  </si>
  <si>
    <t>BOR-802215</t>
  </si>
  <si>
    <t>ZAAUTO2024-1-00411</t>
  </si>
  <si>
    <t>BOR-677433</t>
  </si>
  <si>
    <t>ZAAUTO2024-1-00412</t>
  </si>
  <si>
    <t>BOR-390637</t>
  </si>
  <si>
    <t>ZAAUTO2024-1-00413</t>
  </si>
  <si>
    <t>BOR-707794</t>
  </si>
  <si>
    <t>ZAAUTO2024-1-00414</t>
  </si>
  <si>
    <t>BOR-387458</t>
  </si>
  <si>
    <t>ZAAUTO2024-1-00415</t>
  </si>
  <si>
    <t>BOR-897662</t>
  </si>
  <si>
    <t>ZAAUTO2024-1-00416</t>
  </si>
  <si>
    <t>BOR-659890</t>
  </si>
  <si>
    <t>ZAAUTO2024-1-00417</t>
  </si>
  <si>
    <t>BOR-937642</t>
  </si>
  <si>
    <t>ZAAUTO2024-1-00418</t>
  </si>
  <si>
    <t>BOR-895613</t>
  </si>
  <si>
    <t>ZAAUTO2024-1-00419</t>
  </si>
  <si>
    <t>BOR-845647</t>
  </si>
  <si>
    <t>ZAAUTO2024-1-00420</t>
  </si>
  <si>
    <t>BOR-197716</t>
  </si>
  <si>
    <t>ZAAUTO2024-1-00421</t>
  </si>
  <si>
    <t>BOR-685701</t>
  </si>
  <si>
    <t>ZAAUTO2024-1-00422</t>
  </si>
  <si>
    <t>BOR-447302</t>
  </si>
  <si>
    <t>ZAAUTO2024-1-00423</t>
  </si>
  <si>
    <t>BOR-108902</t>
  </si>
  <si>
    <t>ZAAUTO2024-1-00424</t>
  </si>
  <si>
    <t>BOR-735612</t>
  </si>
  <si>
    <t>ZAAUTO2024-1-00425</t>
  </si>
  <si>
    <t>BOR-396196</t>
  </si>
  <si>
    <t>ZAAUTO2024-1-00426</t>
  </si>
  <si>
    <t>BOR-362773</t>
  </si>
  <si>
    <t>ZAAUTO2024-1-00427</t>
  </si>
  <si>
    <t>BOR-866793</t>
  </si>
  <si>
    <t>ZAAUTO2024-1-00428</t>
  </si>
  <si>
    <t>BOR-386926</t>
  </si>
  <si>
    <t>ZAAUTO2024-1-00429</t>
  </si>
  <si>
    <t>BOR-314007</t>
  </si>
  <si>
    <t>ZAAUTO2024-1-00430</t>
  </si>
  <si>
    <t>BOR-119112</t>
  </si>
  <si>
    <t>ZAAUTO2024-1-00431</t>
  </si>
  <si>
    <t>BOR-796862</t>
  </si>
  <si>
    <t>ZAAUTO2024-1-00432</t>
  </si>
  <si>
    <t>BOR-178011</t>
  </si>
  <si>
    <t>ZAAUTO2024-1-00433</t>
  </si>
  <si>
    <t>BOR-197483</t>
  </si>
  <si>
    <t>ZAAUTO2024-1-00434</t>
  </si>
  <si>
    <t>BOR-743047</t>
  </si>
  <si>
    <t>ZAAUTO2024-1-00435</t>
  </si>
  <si>
    <t>BOR-102954</t>
  </si>
  <si>
    <t>ZAAUTO2024-1-00436</t>
  </si>
  <si>
    <t>BOR-313741</t>
  </si>
  <si>
    <t>ZAAUTO2024-1-00437</t>
  </si>
  <si>
    <t>BOR-367188</t>
  </si>
  <si>
    <t>ZAAUTO2024-1-00438</t>
  </si>
  <si>
    <t>BOR-802374</t>
  </si>
  <si>
    <t>ZAAUTO2024-1-00439</t>
  </si>
  <si>
    <t>BOR-368914</t>
  </si>
  <si>
    <t>ZAAUTO2024-1-00440</t>
  </si>
  <si>
    <t>BOR-272275</t>
  </si>
  <si>
    <t>ZAAUTO2024-1-00441</t>
  </si>
  <si>
    <t>BOR-322072</t>
  </si>
  <si>
    <t>ZAAUTO2024-1-00442</t>
  </si>
  <si>
    <t>BOR-709644</t>
  </si>
  <si>
    <t>ZAAUTO2024-1-00443</t>
  </si>
  <si>
    <t>BOR-315273</t>
  </si>
  <si>
    <t>ZAAUTO2024-1-00444</t>
  </si>
  <si>
    <t>BOR-734252</t>
  </si>
  <si>
    <t>ZAAUTO2024-1-00445</t>
  </si>
  <si>
    <t>BOR-767594</t>
  </si>
  <si>
    <t>ZAAUTO2024-1-00446</t>
  </si>
  <si>
    <t>BOR-997744</t>
  </si>
  <si>
    <t>ZAAUTO2024-1-00447</t>
  </si>
  <si>
    <t>BOR-776526</t>
  </si>
  <si>
    <t>ZAAUTO2024-1-00448</t>
  </si>
  <si>
    <t>BOR-864670</t>
  </si>
  <si>
    <t>ZAAUTO2024-1-00449</t>
  </si>
  <si>
    <t>BOR-430378</t>
  </si>
  <si>
    <t>ZAAUTO2024-1-00450</t>
  </si>
  <si>
    <t>BOR-625004</t>
  </si>
  <si>
    <t>ZAAUTO2024-1-00451</t>
  </si>
  <si>
    <t>BOR-651510</t>
  </si>
  <si>
    <t>ZAAUTO2024-1-00452</t>
  </si>
  <si>
    <t>BOR-549492</t>
  </si>
  <si>
    <t>ZAAUTO2024-1-00453</t>
  </si>
  <si>
    <t>BOR-249522</t>
  </si>
  <si>
    <t>ZAAUTO2024-1-00454</t>
  </si>
  <si>
    <t>BOR-116539</t>
  </si>
  <si>
    <t>ZAAUTO2024-1-00455</t>
  </si>
  <si>
    <t>BOR-946282</t>
  </si>
  <si>
    <t>ZAAUTO2024-1-00456</t>
  </si>
  <si>
    <t>BOR-968235</t>
  </si>
  <si>
    <t>ZAAUTO2024-1-00457</t>
  </si>
  <si>
    <t>BOR-886874</t>
  </si>
  <si>
    <t>ZAAUTO2024-1-00458</t>
  </si>
  <si>
    <t>BOR-779776</t>
  </si>
  <si>
    <t>ZAAUTO2024-1-00459</t>
  </si>
  <si>
    <t>BOR-882094</t>
  </si>
  <si>
    <t>ZAAUTO2024-1-00460</t>
  </si>
  <si>
    <t>BOR-271319</t>
  </si>
  <si>
    <t>ZAAUTO2024-1-00461</t>
  </si>
  <si>
    <t>BOR-660130</t>
  </si>
  <si>
    <t>ZAAUTO2024-1-00462</t>
  </si>
  <si>
    <t>BOR-700231</t>
  </si>
  <si>
    <t>ZAAUTO2024-1-00463</t>
  </si>
  <si>
    <t>BOR-176401</t>
  </si>
  <si>
    <t>ZAAUTO2024-1-00464</t>
  </si>
  <si>
    <t>BOR-236302</t>
  </si>
  <si>
    <t>ZAAUTO2024-1-00465</t>
  </si>
  <si>
    <t>BOR-503150</t>
  </si>
  <si>
    <t>ZAAUTO2024-1-00466</t>
  </si>
  <si>
    <t>BOR-393178</t>
  </si>
  <si>
    <t>ZAAUTO2024-1-00467</t>
  </si>
  <si>
    <t>BOR-443807</t>
  </si>
  <si>
    <t>ZAAUTO2024-1-00468</t>
  </si>
  <si>
    <t>BOR-808236</t>
  </si>
  <si>
    <t>ZAAUTO2024-1-00469</t>
  </si>
  <si>
    <t>BOR-992924</t>
  </si>
  <si>
    <t>ZAAUTO2024-1-00470</t>
  </si>
  <si>
    <t>BOR-910471</t>
  </si>
  <si>
    <t>ZAAUTO2024-1-00471</t>
  </si>
  <si>
    <t>BOR-106561</t>
  </si>
  <si>
    <t>ZAAUTO2024-1-00472</t>
  </si>
  <si>
    <t>BOR-623852</t>
  </si>
  <si>
    <t>ZAAUTO2024-1-00473</t>
  </si>
  <si>
    <t>BOR-874159</t>
  </si>
  <si>
    <t>ZAAUTO2024-1-00474</t>
  </si>
  <si>
    <t>BOR-352800</t>
  </si>
  <si>
    <t>ZAAUTO2024-1-00475</t>
  </si>
  <si>
    <t>BOR-356399</t>
  </si>
  <si>
    <t>ZAAUTO2024-1-00476</t>
  </si>
  <si>
    <t>BOR-324643</t>
  </si>
  <si>
    <t>ZAAUTO2024-1-00477</t>
  </si>
  <si>
    <t>BOR-348298</t>
  </si>
  <si>
    <t>ZAAUTO2024-1-00478</t>
  </si>
  <si>
    <t>BOR-785511</t>
  </si>
  <si>
    <t>ZAAUTO2024-1-00479</t>
  </si>
  <si>
    <t>BOR-878651</t>
  </si>
  <si>
    <t>ZAAUTO2024-1-00480</t>
  </si>
  <si>
    <t>BOR-235064</t>
  </si>
  <si>
    <t>ZAAUTO2024-1-00481</t>
  </si>
  <si>
    <t>BOR-126891</t>
  </si>
  <si>
    <t>ZAAUTO2024-1-00482</t>
  </si>
  <si>
    <t>BOR-117679</t>
  </si>
  <si>
    <t>ZAAUTO2024-1-00483</t>
  </si>
  <si>
    <t>BOR-670816</t>
  </si>
  <si>
    <t>ZAAUTO2024-1-00484</t>
  </si>
  <si>
    <t>BOR-465883</t>
  </si>
  <si>
    <t>ZAAUTO2024-1-00485</t>
  </si>
  <si>
    <t>BOR-717101</t>
  </si>
  <si>
    <t>ZAAUTO2024-1-00486</t>
  </si>
  <si>
    <t>BOR-334546</t>
  </si>
  <si>
    <t>ZAAUTO2024-1-00487</t>
  </si>
  <si>
    <t>BOR-376943</t>
  </si>
  <si>
    <t>ZAAUTO2024-1-00488</t>
  </si>
  <si>
    <t>BOR-756367</t>
  </si>
  <si>
    <t>ZAAUTO2024-1-00489</t>
  </si>
  <si>
    <t>BOR-623957</t>
  </si>
  <si>
    <t>ZAAUTO2024-1-00490</t>
  </si>
  <si>
    <t>BOR-495718</t>
  </si>
  <si>
    <t>ZAAUTO2024-1-00491</t>
  </si>
  <si>
    <t>BOR-927687</t>
  </si>
  <si>
    <t>ZAAUTO2024-1-00492</t>
  </si>
  <si>
    <t>BOR-366875</t>
  </si>
  <si>
    <t>ZAAUTO2024-1-00493</t>
  </si>
  <si>
    <t>BOR-864921</t>
  </si>
  <si>
    <t>ZAAUTO2024-1-00494</t>
  </si>
  <si>
    <t>BOR-428786</t>
  </si>
  <si>
    <t>ZAAUTO2024-1-00495</t>
  </si>
  <si>
    <t>BOR-722977</t>
  </si>
  <si>
    <t>ZAAUTO2024-1-00496</t>
  </si>
  <si>
    <t>BOR-130294</t>
  </si>
  <si>
    <t>ZAAUTO2024-1-00497</t>
  </si>
  <si>
    <t>BOR-208691</t>
  </si>
  <si>
    <t>ZAAUTO2024-1-00498</t>
  </si>
  <si>
    <t>BOR-375903</t>
  </si>
  <si>
    <t>ZAAUTO2024-1-00499</t>
  </si>
  <si>
    <t>BOR-366825</t>
  </si>
  <si>
    <t>ZAAUTO2024-1-00500</t>
  </si>
  <si>
    <t>BOR-597793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</si>
</sst>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1" xfId="0" applyFill="1" applyBorder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3C3940-AD64-4C47-9BDB-D95A89BE4B42}" autoFormatId="16" applyNumberFormats="0" applyBorderFormats="0" applyFontFormats="0" applyPatternFormats="0" applyAlignmentFormats="0" applyWidthHeightFormats="0">
  <queryTableRefresh nextId="59">
    <queryTableFields count="58">
      <queryTableField id="1" name="LoanID" tableColumnId="1"/>
      <queryTableField id="2" name="PoolID" tableColumnId="2"/>
      <queryTableField id="3" name="BorrowerID" tableColumnId="3"/>
      <queryTableField id="4" name="ServicerID" tableColumnId="4"/>
      <queryTableField id="5" name="ServicerName" tableColumnId="5"/>
      <queryTableField id="6" name="OriginationChannel" tableColumnId="6"/>
      <queryTableField id="7" name="OriginationDate" tableColumnId="7"/>
      <queryTableField id="8" name="CutoffDate" tableColumnId="8"/>
      <queryTableField id="9" name="MaturityDate" tableColumnId="9"/>
      <queryTableField id="10" name="OriginalLoanAmount" tableColumnId="10"/>
      <queryTableField id="11" name="OriginalTerm" tableColumnId="11"/>
      <queryTableField id="12" name="RemainingTerm" tableColumnId="12"/>
      <queryTableField id="13" name="MonthsOnBook" tableColumnId="13"/>
      <queryTableField id="14" name="InterestRate" tableColumnId="14"/>
      <queryTableField id="15" name="MonthlyEMI" tableColumnId="15"/>
      <queryTableField id="16" name="LoanPurpose" tableColumnId="16"/>
      <queryTableField id="17" name="CurrentBalance" tableColumnId="17"/>
      <queryTableField id="18" name="ScheduledPaymentDue" tableColumnId="18"/>
      <queryTableField id="19" name="LastPaymentAmount" tableColumnId="19"/>
      <queryTableField id="20" name="LastPaymentDate" tableColumnId="20"/>
      <queryTableField id="21" name="DelinquencyStatus" tableColumnId="21"/>
      <queryTableField id="22" name="DelinquencyDays" tableColumnId="22"/>
      <queryTableField id="23" name="TotalPaymentsDue" tableColumnId="23"/>
      <queryTableField id="24" name="TotalPaymentsMade" tableColumnId="24"/>
      <queryTableField id="25" name="Times30DPD_Last12M" tableColumnId="25"/>
      <queryTableField id="26" name="Times60DPD_Last12M" tableColumnId="26"/>
      <queryTableField id="27" name="Times90DPD_Last12M" tableColumnId="27"/>
      <queryTableField id="28" name="VehicleMake" tableColumnId="28"/>
      <queryTableField id="29" name="VehicleModel" tableColumnId="29"/>
      <queryTableField id="30" name="VehicleYear" tableColumnId="30"/>
      <queryTableField id="31" name="VehicleType" tableColumnId="31"/>
      <queryTableField id="32" name="IsNewVehicle" tableColumnId="32"/>
      <queryTableField id="33" name="OriginalVehicleValue" tableColumnId="33"/>
      <queryTableField id="34" name="CurrentVehicleValue" tableColumnId="34"/>
      <queryTableField id="35" name="LTV_AtOrigination" tableColumnId="35"/>
      <queryTableField id="36" name="LTV_Current" tableColumnId="36"/>
      <queryTableField id="37" name="BorrowerAge" tableColumnId="37"/>
      <queryTableField id="38" name="EmploymentType" tableColumnId="38"/>
      <queryTableField id="39" name="AnnualIncome_INR" tableColumnId="39"/>
      <queryTableField id="40" name="DTI_Ratio" tableColumnId="40"/>
      <queryTableField id="41" name="CIBIL_Score_Origination" tableColumnId="41"/>
      <queryTableField id="42" name="CIBIL_Score_Current" tableColumnId="42"/>
      <queryTableField id="43" name="Region" tableColumnId="43"/>
      <queryTableField id="44" name="State" tableColumnId="44"/>
      <queryTableField id="45" name="IFRS9_Stage" tableColumnId="45"/>
      <queryTableField id="46" name="PD_Estimate" tableColumnId="46"/>
      <queryTableField id="47" name="LGD_Estimate" tableColumnId="47"/>
      <queryTableField id="48" name="EAD" tableColumnId="48"/>
      <queryTableField id="49" name="ECL_Provision" tableColumnId="49"/>
      <queryTableField id="50" name="IsDefaulted" tableColumnId="50"/>
      <queryTableField id="51" name="IsModified" tableColumnId="51"/>
      <queryTableField id="52" name="ModificationType" tableColumnId="52"/>
      <queryTableField id="53" name="LossAmount" tableColumnId="53"/>
      <queryTableField id="54" name="RecoveryAmount" tableColumnId="54"/>
      <queryTableField id="55" name="NetLoss" tableColumnId="55"/>
      <queryTableField id="56" name="PrepaymentAmount" tableColumnId="56"/>
      <queryTableField id="57" name="InsuranceType" tableColumnId="57"/>
      <queryTableField id="58" name="HasInsurance" tableColumnId="5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C1891F-7442-4CD6-9AAE-7774136112CB}" name="auto_loan_securitisation_data" displayName="auto_loan_securitisation_data" ref="A1:BF501" tableType="queryTable" totalsRowShown="0">
  <autoFilter ref="A1:BF501" xr:uid="{CEC1891F-7442-4CD6-9AAE-7774136112CB}"/>
  <tableColumns count="58">
    <tableColumn id="1" xr3:uid="{7878AFD2-E5BC-4103-B588-FA5C61EC4FBF}" uniqueName="1" name="LoanID" queryTableFieldId="1" dataDxfId="19"/>
    <tableColumn id="2" xr3:uid="{F8B7940C-A489-40E7-91DE-828309C0F10B}" uniqueName="2" name="PoolID" queryTableFieldId="2" dataDxfId="18"/>
    <tableColumn id="3" xr3:uid="{D7FAE74B-E3E4-4471-8F26-1B69C0C1B5E8}" uniqueName="3" name="BorrowerID" queryTableFieldId="3" dataDxfId="17"/>
    <tableColumn id="4" xr3:uid="{EF40496C-7B4C-44BF-B54C-6C7942019B4A}" uniqueName="4" name="ServicerID" queryTableFieldId="4" dataDxfId="16"/>
    <tableColumn id="5" xr3:uid="{94F59AE0-31C8-44F6-B5D1-7F4DA720F83A}" uniqueName="5" name="ServicerName" queryTableFieldId="5" dataDxfId="15"/>
    <tableColumn id="6" xr3:uid="{2F4F01BF-AD02-4EE8-8D51-B0EA4286EEA1}" uniqueName="6" name="OriginationChannel" queryTableFieldId="6" dataDxfId="14"/>
    <tableColumn id="7" xr3:uid="{69F88BB0-4D6B-46B2-8087-1182837255D5}" uniqueName="7" name="OriginationDate" queryTableFieldId="7" dataDxfId="13"/>
    <tableColumn id="8" xr3:uid="{A5588979-E35A-48AB-9C7D-0FA3A85C2951}" uniqueName="8" name="CutoffDate" queryTableFieldId="8" dataDxfId="12"/>
    <tableColumn id="9" xr3:uid="{1A80087A-D0F6-4A9E-B140-F8F3A4D96891}" uniqueName="9" name="MaturityDate" queryTableFieldId="9" dataDxfId="11"/>
    <tableColumn id="10" xr3:uid="{582A2770-710D-4C03-9529-897EB68F5F91}" uniqueName="10" name="OriginalLoanAmount" queryTableFieldId="10"/>
    <tableColumn id="11" xr3:uid="{152A08B4-934E-4D25-874F-021AD6309F21}" uniqueName="11" name="OriginalTerm" queryTableFieldId="11"/>
    <tableColumn id="12" xr3:uid="{79906D4F-2D5E-4794-96AE-F03DF2CC3A94}" uniqueName="12" name="RemainingTerm" queryTableFieldId="12"/>
    <tableColumn id="13" xr3:uid="{5E2FF919-95A9-4517-AB41-49B19D7393DE}" uniqueName="13" name="MonthsOnBook" queryTableFieldId="13"/>
    <tableColumn id="14" xr3:uid="{575B53BB-E1B3-417E-A0D1-CDB695978410}" uniqueName="14" name="InterestRate" queryTableFieldId="14"/>
    <tableColumn id="15" xr3:uid="{553DFE68-B2E8-401E-A294-B292B50CB67D}" uniqueName="15" name="MonthlyEMI" queryTableFieldId="15"/>
    <tableColumn id="16" xr3:uid="{DA54F6BC-C1C9-43CD-8133-04F19306902F}" uniqueName="16" name="LoanPurpose" queryTableFieldId="16" dataDxfId="10"/>
    <tableColumn id="17" xr3:uid="{B3F180C8-3E9D-483E-AB49-1DCA78C15076}" uniqueName="17" name="CurrentBalance" queryTableFieldId="17"/>
    <tableColumn id="18" xr3:uid="{D62702B4-F683-44D1-A2A1-09D4F535FCA7}" uniqueName="18" name="ScheduledPaymentDue" queryTableFieldId="18"/>
    <tableColumn id="19" xr3:uid="{0745C612-D423-4CFB-9426-2CEB22A4C6F8}" uniqueName="19" name="LastPaymentAmount" queryTableFieldId="19"/>
    <tableColumn id="20" xr3:uid="{017E73A4-3ACA-4AF1-BB90-A04F52B3A212}" uniqueName="20" name="LastPaymentDate" queryTableFieldId="20" dataDxfId="9"/>
    <tableColumn id="21" xr3:uid="{8C3C0FFD-20F4-412C-90AD-5A6E73B36B58}" uniqueName="21" name="DelinquencyStatus" queryTableFieldId="21" dataDxfId="8"/>
    <tableColumn id="22" xr3:uid="{80EC165C-3127-4A75-9CDF-B02B320DCBA8}" uniqueName="22" name="DelinquencyDays" queryTableFieldId="22"/>
    <tableColumn id="23" xr3:uid="{D032A542-3EC5-4E99-AB04-9FB366F6CB8A}" uniqueName="23" name="TotalPaymentsDue" queryTableFieldId="23"/>
    <tableColumn id="24" xr3:uid="{19F2A36D-9124-4C8E-8CDC-F670CA51467A}" uniqueName="24" name="TotalPaymentsMade" queryTableFieldId="24"/>
    <tableColumn id="25" xr3:uid="{2A79C14D-C360-4D2A-A226-F7C35820C74D}" uniqueName="25" name="Times30DPD_Last12M" queryTableFieldId="25"/>
    <tableColumn id="26" xr3:uid="{04BF6675-334E-47FB-B697-EC3913546BE7}" uniqueName="26" name="Times60DPD_Last12M" queryTableFieldId="26"/>
    <tableColumn id="27" xr3:uid="{3C320E33-066F-4B9A-981E-59DAA611F97A}" uniqueName="27" name="Times90DPD_Last12M" queryTableFieldId="27"/>
    <tableColumn id="28" xr3:uid="{FC991BE0-721E-443D-BABA-6805AC05A8F1}" uniqueName="28" name="VehicleMake" queryTableFieldId="28" dataDxfId="7"/>
    <tableColumn id="29" xr3:uid="{19C5A754-C2EF-4F27-8110-5E5930733A69}" uniqueName="29" name="VehicleModel" queryTableFieldId="29" dataDxfId="6"/>
    <tableColumn id="30" xr3:uid="{19B1AD10-2E16-4D61-AC20-C47FD0105E65}" uniqueName="30" name="VehicleYear" queryTableFieldId="30"/>
    <tableColumn id="31" xr3:uid="{159A28EE-4C39-4829-BC68-6E69EB1720D7}" uniqueName="31" name="VehicleType" queryTableFieldId="31" dataDxfId="5"/>
    <tableColumn id="32" xr3:uid="{87105586-C0F3-4F5F-8A29-7F4BE4F1CFFB}" uniqueName="32" name="IsNewVehicle" queryTableFieldId="32"/>
    <tableColumn id="33" xr3:uid="{CEBF9D82-28B9-4F45-87E1-F54E989FF385}" uniqueName="33" name="OriginalVehicleValue" queryTableFieldId="33"/>
    <tableColumn id="34" xr3:uid="{F7439515-7979-4E5C-AB6B-2D95B40569B4}" uniqueName="34" name="CurrentVehicleValue" queryTableFieldId="34"/>
    <tableColumn id="35" xr3:uid="{E03D4EDB-16B0-4573-9382-07A7B0FA7296}" uniqueName="35" name="LTV_AtOrigination" queryTableFieldId="35"/>
    <tableColumn id="36" xr3:uid="{41573263-0D0B-4A01-A090-70BB56F5211C}" uniqueName="36" name="LTV_Current" queryTableFieldId="36"/>
    <tableColumn id="37" xr3:uid="{BC963960-F795-4B62-AB92-F62C5E0DB89E}" uniqueName="37" name="BorrowerAge" queryTableFieldId="37"/>
    <tableColumn id="38" xr3:uid="{80334D6C-570E-44C0-B9D8-2D952F691567}" uniqueName="38" name="EmploymentType" queryTableFieldId="38" dataDxfId="4"/>
    <tableColumn id="39" xr3:uid="{5EEBA6F8-F803-4BC5-8AA4-3765C2FF4E4F}" uniqueName="39" name="AnnualIncome_INR" queryTableFieldId="39"/>
    <tableColumn id="40" xr3:uid="{EC691B64-E86C-4089-A8C0-170BDDB78D49}" uniqueName="40" name="DTI_Ratio" queryTableFieldId="40"/>
    <tableColumn id="41" xr3:uid="{824F7C2D-4D06-468E-BBC9-5BBBB9C3E02E}" uniqueName="41" name="CIBIL_Score_Origination" queryTableFieldId="41"/>
    <tableColumn id="42" xr3:uid="{1AEF03A5-AFA7-4CD4-89BA-546E56197881}" uniqueName="42" name="CIBIL_Score_Current" queryTableFieldId="42"/>
    <tableColumn id="43" xr3:uid="{99A112AB-3CC6-4C2D-B529-04A94C52D89D}" uniqueName="43" name="Region" queryTableFieldId="43" dataDxfId="3"/>
    <tableColumn id="44" xr3:uid="{D7FFE548-C257-4C0A-B007-BF8E8ADF55B1}" uniqueName="44" name="State" queryTableFieldId="44" dataDxfId="2"/>
    <tableColumn id="45" xr3:uid="{EC85D1BE-1C80-4568-82E6-A261D4C6C089}" uniqueName="45" name="IFRS9_Stage" queryTableFieldId="45"/>
    <tableColumn id="46" xr3:uid="{6AA9C41E-D54C-42EF-A40E-E2E1BC697819}" uniqueName="46" name="PD_Estimate" queryTableFieldId="46"/>
    <tableColumn id="47" xr3:uid="{C9ECC8C0-E8EB-4158-8697-23F652410895}" uniqueName="47" name="LGD_Estimate" queryTableFieldId="47"/>
    <tableColumn id="48" xr3:uid="{FD83D0E5-08EA-4393-89F3-7465977F7523}" uniqueName="48" name="EAD" queryTableFieldId="48"/>
    <tableColumn id="49" xr3:uid="{848FF31B-E6B7-4FC2-8D09-B711CA0142D3}" uniqueName="49" name="ECL_Provision" queryTableFieldId="49"/>
    <tableColumn id="50" xr3:uid="{1E2CEB4C-29EB-426F-91A3-57FCCBFEE64C}" uniqueName="50" name="IsDefaulted" queryTableFieldId="50"/>
    <tableColumn id="51" xr3:uid="{A6B268C7-E3B2-4AF7-B6E3-175D13C47097}" uniqueName="51" name="IsModified" queryTableFieldId="51"/>
    <tableColumn id="52" xr3:uid="{D9DAB176-0BC4-4047-81AD-50BE43B23270}" uniqueName="52" name="ModificationType" queryTableFieldId="52" dataDxfId="1"/>
    <tableColumn id="53" xr3:uid="{C02B2BCF-395E-4253-AF38-8F4C71211E36}" uniqueName="53" name="LossAmount" queryTableFieldId="53"/>
    <tableColumn id="54" xr3:uid="{FDADA973-A936-4C3C-A1B1-E7FB8FBD9405}" uniqueName="54" name="RecoveryAmount" queryTableFieldId="54"/>
    <tableColumn id="55" xr3:uid="{D87DC441-4EF8-421D-A55D-39F070F760DC}" uniqueName="55" name="NetLoss" queryTableFieldId="55"/>
    <tableColumn id="56" xr3:uid="{F1D696D4-0BD6-4F8A-BF91-0BA0C9CBA726}" uniqueName="56" name="PrepaymentAmount" queryTableFieldId="56"/>
    <tableColumn id="57" xr3:uid="{D480D9D0-1A3C-486C-840B-EAE58CFBC150}" uniqueName="57" name="InsuranceType" queryTableFieldId="57" dataDxfId="0"/>
    <tableColumn id="58" xr3:uid="{FDD76E48-2543-41C9-AEDB-3B58F84AFBEA}" uniqueName="58" name="HasInsurance" queryTableFieldId="5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EF4B-369D-471D-AF9F-E5DED7CDE154}">
  <dimension ref="A1:BF501"/>
  <sheetViews>
    <sheetView workbookViewId="0">
      <selection activeCell="B7" sqref="B7"/>
    </sheetView>
  </sheetViews>
  <sheetFormatPr defaultRowHeight="14.4" x14ac:dyDescent="0.3"/>
  <cols>
    <col min="1" max="1" width="19.33203125" bestFit="1" customWidth="1"/>
    <col min="2" max="2" width="13.5546875" bestFit="1" customWidth="1"/>
    <col min="3" max="3" width="12.77734375" bestFit="1" customWidth="1"/>
    <col min="4" max="4" width="11.6640625" bestFit="1" customWidth="1"/>
    <col min="5" max="5" width="21.109375" bestFit="1" customWidth="1"/>
    <col min="6" max="6" width="19.6640625" bestFit="1" customWidth="1"/>
    <col min="7" max="7" width="16.5546875" bestFit="1" customWidth="1"/>
    <col min="8" max="8" width="12.44140625" bestFit="1" customWidth="1"/>
    <col min="9" max="9" width="14.44140625" bestFit="1" customWidth="1"/>
    <col min="10" max="10" width="20.88671875" bestFit="1" customWidth="1"/>
    <col min="11" max="11" width="14" bestFit="1" customWidth="1"/>
    <col min="12" max="12" width="16.5546875" bestFit="1" customWidth="1"/>
    <col min="13" max="13" width="16.6640625" bestFit="1" customWidth="1"/>
    <col min="14" max="14" width="13.44140625" bestFit="1" customWidth="1"/>
    <col min="15" max="15" width="13.77734375" bestFit="1" customWidth="1"/>
    <col min="16" max="16" width="19.44140625" bestFit="1" customWidth="1"/>
    <col min="17" max="17" width="16.21875" bestFit="1" customWidth="1"/>
    <col min="18" max="18" width="23.109375" bestFit="1" customWidth="1"/>
    <col min="19" max="19" width="21.21875" bestFit="1" customWidth="1"/>
    <col min="20" max="20" width="18.109375" bestFit="1" customWidth="1"/>
    <col min="21" max="21" width="19" bestFit="1" customWidth="1"/>
    <col min="22" max="22" width="17.77734375" bestFit="1" customWidth="1"/>
    <col min="23" max="23" width="19.21875" bestFit="1" customWidth="1"/>
    <col min="24" max="24" width="20.88671875" bestFit="1" customWidth="1"/>
    <col min="25" max="27" width="22" bestFit="1" customWidth="1"/>
    <col min="28" max="28" width="14.109375" bestFit="1" customWidth="1"/>
    <col min="29" max="29" width="14.77734375" bestFit="1" customWidth="1"/>
    <col min="30" max="30" width="13" bestFit="1" customWidth="1"/>
    <col min="31" max="31" width="13.44140625" bestFit="1" customWidth="1"/>
    <col min="32" max="32" width="14.44140625" bestFit="1" customWidth="1"/>
    <col min="33" max="33" width="20.77734375" bestFit="1" customWidth="1"/>
    <col min="34" max="34" width="20.6640625" bestFit="1" customWidth="1"/>
    <col min="35" max="35" width="18.6640625" bestFit="1" customWidth="1"/>
    <col min="36" max="36" width="13.6640625" bestFit="1" customWidth="1"/>
    <col min="37" max="37" width="14.21875" bestFit="1" customWidth="1"/>
    <col min="38" max="38" width="18.21875" bestFit="1" customWidth="1"/>
    <col min="39" max="39" width="19.77734375" bestFit="1" customWidth="1"/>
    <col min="40" max="40" width="11.33203125" bestFit="1" customWidth="1"/>
    <col min="41" max="41" width="23.77734375" bestFit="1" customWidth="1"/>
    <col min="42" max="42" width="20.6640625" bestFit="1" customWidth="1"/>
    <col min="43" max="43" width="9" bestFit="1" customWidth="1"/>
    <col min="44" max="44" width="14.5546875" bestFit="1" customWidth="1"/>
    <col min="45" max="45" width="13.44140625" bestFit="1" customWidth="1"/>
    <col min="46" max="46" width="13.77734375" bestFit="1" customWidth="1"/>
    <col min="47" max="47" width="14.77734375" bestFit="1" customWidth="1"/>
    <col min="48" max="48" width="11" bestFit="1" customWidth="1"/>
    <col min="49" max="49" width="15" bestFit="1" customWidth="1"/>
    <col min="50" max="50" width="12.77734375" bestFit="1" customWidth="1"/>
    <col min="51" max="51" width="12.21875" bestFit="1" customWidth="1"/>
    <col min="52" max="52" width="18.21875" bestFit="1" customWidth="1"/>
    <col min="53" max="53" width="13.6640625" bestFit="1" customWidth="1"/>
    <col min="54" max="54" width="18" bestFit="1" customWidth="1"/>
    <col min="55" max="55" width="9.77734375" bestFit="1" customWidth="1"/>
    <col min="56" max="56" width="20.6640625" bestFit="1" customWidth="1"/>
    <col min="57" max="57" width="15.6640625" bestFit="1" customWidth="1"/>
    <col min="58" max="58" width="14.44140625" bestFit="1" customWidth="1"/>
  </cols>
  <sheetData>
    <row r="1" spans="1:58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</row>
    <row r="2" spans="1:58" x14ac:dyDescent="0.3">
      <c r="A2" t="s">
        <v>66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s="1">
        <v>45506</v>
      </c>
      <c r="H2" s="1">
        <v>45596</v>
      </c>
      <c r="I2" s="1">
        <v>48026</v>
      </c>
      <c r="J2">
        <v>782300</v>
      </c>
      <c r="K2">
        <v>84</v>
      </c>
      <c r="L2">
        <v>82</v>
      </c>
      <c r="M2">
        <v>2</v>
      </c>
      <c r="N2">
        <v>8.11</v>
      </c>
      <c r="O2">
        <v>12236.01</v>
      </c>
      <c r="P2" t="s">
        <v>72</v>
      </c>
      <c r="Q2">
        <v>735638.03</v>
      </c>
      <c r="R2">
        <v>12236.01</v>
      </c>
      <c r="S2">
        <v>12089.09</v>
      </c>
      <c r="T2" s="1">
        <v>45574</v>
      </c>
      <c r="U2" t="s">
        <v>73</v>
      </c>
      <c r="V2">
        <v>0</v>
      </c>
      <c r="W2">
        <v>2</v>
      </c>
      <c r="X2">
        <v>2</v>
      </c>
      <c r="Y2">
        <v>0</v>
      </c>
      <c r="Z2">
        <v>0</v>
      </c>
      <c r="AA2">
        <v>0</v>
      </c>
      <c r="AB2" t="s">
        <v>74</v>
      </c>
      <c r="AC2" t="s">
        <v>75</v>
      </c>
      <c r="AD2">
        <v>2024</v>
      </c>
      <c r="AE2" t="s">
        <v>76</v>
      </c>
      <c r="AF2" t="b">
        <v>1</v>
      </c>
      <c r="AG2">
        <v>912000</v>
      </c>
      <c r="AH2">
        <v>951973.78</v>
      </c>
      <c r="AI2">
        <v>0.85780000000000001</v>
      </c>
      <c r="AJ2">
        <v>0.82650000000000001</v>
      </c>
      <c r="AK2">
        <v>27</v>
      </c>
      <c r="AL2" t="s">
        <v>77</v>
      </c>
      <c r="AM2">
        <v>1394000</v>
      </c>
      <c r="AN2">
        <v>0.1053</v>
      </c>
      <c r="AO2">
        <v>804</v>
      </c>
      <c r="AP2">
        <v>757</v>
      </c>
      <c r="AQ2" t="s">
        <v>78</v>
      </c>
      <c r="AR2" t="s">
        <v>79</v>
      </c>
      <c r="AS2">
        <v>1</v>
      </c>
      <c r="AT2">
        <v>2.24E-2</v>
      </c>
      <c r="AU2">
        <v>0.4521</v>
      </c>
      <c r="AV2">
        <v>741356.86</v>
      </c>
      <c r="AW2">
        <v>7507.75</v>
      </c>
      <c r="AX2" t="b">
        <v>0</v>
      </c>
      <c r="AY2" t="b">
        <v>0</v>
      </c>
      <c r="AZ2" t="s">
        <v>80</v>
      </c>
      <c r="BA2">
        <v>0</v>
      </c>
      <c r="BB2">
        <v>0</v>
      </c>
      <c r="BC2">
        <v>0</v>
      </c>
      <c r="BD2">
        <v>0</v>
      </c>
      <c r="BE2" t="s">
        <v>81</v>
      </c>
      <c r="BF2" t="b">
        <v>1</v>
      </c>
    </row>
    <row r="3" spans="1:58" x14ac:dyDescent="0.3">
      <c r="A3" t="s">
        <v>82</v>
      </c>
      <c r="B3" t="s">
        <v>67</v>
      </c>
      <c r="C3" t="s">
        <v>83</v>
      </c>
      <c r="D3" t="s">
        <v>84</v>
      </c>
      <c r="E3" t="s">
        <v>85</v>
      </c>
      <c r="F3" t="s">
        <v>86</v>
      </c>
      <c r="G3" s="1">
        <v>45433</v>
      </c>
      <c r="H3" s="1">
        <v>45596</v>
      </c>
      <c r="I3" s="1">
        <v>46513</v>
      </c>
      <c r="J3">
        <v>772400</v>
      </c>
      <c r="K3">
        <v>36</v>
      </c>
      <c r="L3">
        <v>31</v>
      </c>
      <c r="M3">
        <v>5</v>
      </c>
      <c r="N3">
        <v>11.36</v>
      </c>
      <c r="O3">
        <v>25419.27</v>
      </c>
      <c r="P3" t="s">
        <v>72</v>
      </c>
      <c r="Q3">
        <v>681358.32</v>
      </c>
      <c r="R3">
        <v>25419.27</v>
      </c>
      <c r="S3">
        <v>3322.86</v>
      </c>
      <c r="T3" s="1">
        <v>45572</v>
      </c>
      <c r="U3" t="s">
        <v>87</v>
      </c>
      <c r="V3">
        <v>28</v>
      </c>
      <c r="W3">
        <v>5</v>
      </c>
      <c r="X3">
        <v>4</v>
      </c>
      <c r="Y3">
        <v>2</v>
      </c>
      <c r="Z3">
        <v>0</v>
      </c>
      <c r="AA3">
        <v>0</v>
      </c>
      <c r="AB3" t="s">
        <v>88</v>
      </c>
      <c r="AC3" t="s">
        <v>89</v>
      </c>
      <c r="AD3">
        <v>2024</v>
      </c>
      <c r="AE3" t="s">
        <v>90</v>
      </c>
      <c r="AF3" t="b">
        <v>1</v>
      </c>
      <c r="AG3">
        <v>837000</v>
      </c>
      <c r="AH3">
        <v>750579.91</v>
      </c>
      <c r="AI3">
        <v>0.92279999999999995</v>
      </c>
      <c r="AJ3">
        <v>0.86599999999999999</v>
      </c>
      <c r="AK3">
        <v>45</v>
      </c>
      <c r="AL3" t="s">
        <v>77</v>
      </c>
      <c r="AM3">
        <v>3611000</v>
      </c>
      <c r="AN3">
        <v>8.4500000000000006E-2</v>
      </c>
      <c r="AO3">
        <v>661</v>
      </c>
      <c r="AP3">
        <v>640</v>
      </c>
      <c r="AQ3" t="s">
        <v>91</v>
      </c>
      <c r="AR3" t="s">
        <v>92</v>
      </c>
      <c r="AS3">
        <v>1</v>
      </c>
      <c r="AT3">
        <v>2.24E-2</v>
      </c>
      <c r="AU3">
        <v>0.55510000000000004</v>
      </c>
      <c r="AV3">
        <v>683790.85</v>
      </c>
      <c r="AW3">
        <v>8502.42</v>
      </c>
      <c r="AX3" t="b">
        <v>0</v>
      </c>
      <c r="AY3" t="b">
        <v>0</v>
      </c>
      <c r="AZ3" t="s">
        <v>80</v>
      </c>
      <c r="BA3">
        <v>0</v>
      </c>
      <c r="BB3">
        <v>0</v>
      </c>
      <c r="BC3">
        <v>0</v>
      </c>
      <c r="BD3">
        <v>0</v>
      </c>
      <c r="BE3" t="s">
        <v>81</v>
      </c>
      <c r="BF3" t="b">
        <v>1</v>
      </c>
    </row>
    <row r="4" spans="1:58" x14ac:dyDescent="0.3">
      <c r="A4" t="s">
        <v>93</v>
      </c>
      <c r="B4" t="s">
        <v>67</v>
      </c>
      <c r="C4" t="s">
        <v>94</v>
      </c>
      <c r="D4" t="s">
        <v>95</v>
      </c>
      <c r="E4" t="s">
        <v>96</v>
      </c>
      <c r="F4" t="s">
        <v>86</v>
      </c>
      <c r="G4" s="1">
        <v>45507</v>
      </c>
      <c r="H4" s="1">
        <v>45596</v>
      </c>
      <c r="I4" s="1">
        <v>47307</v>
      </c>
      <c r="J4">
        <v>333100</v>
      </c>
      <c r="K4">
        <v>60</v>
      </c>
      <c r="L4">
        <v>58</v>
      </c>
      <c r="M4">
        <v>2</v>
      </c>
      <c r="N4">
        <v>10.31</v>
      </c>
      <c r="O4">
        <v>7128.31</v>
      </c>
      <c r="P4" t="s">
        <v>72</v>
      </c>
      <c r="Q4">
        <v>292993.88</v>
      </c>
      <c r="R4">
        <v>7128.31</v>
      </c>
      <c r="S4">
        <v>6880.84</v>
      </c>
      <c r="T4" s="1">
        <v>45586</v>
      </c>
      <c r="U4" t="s">
        <v>73</v>
      </c>
      <c r="V4">
        <v>0</v>
      </c>
      <c r="W4">
        <v>2</v>
      </c>
      <c r="X4">
        <v>2</v>
      </c>
      <c r="Y4">
        <v>0</v>
      </c>
      <c r="Z4">
        <v>0</v>
      </c>
      <c r="AA4">
        <v>0</v>
      </c>
      <c r="AB4" t="s">
        <v>97</v>
      </c>
      <c r="AC4" t="s">
        <v>98</v>
      </c>
      <c r="AD4">
        <v>2024</v>
      </c>
      <c r="AE4" t="s">
        <v>99</v>
      </c>
      <c r="AF4" t="b">
        <v>1</v>
      </c>
      <c r="AG4">
        <v>545000</v>
      </c>
      <c r="AH4">
        <v>562992.56999999995</v>
      </c>
      <c r="AI4">
        <v>0.61119999999999997</v>
      </c>
      <c r="AJ4">
        <v>0.55079999999999996</v>
      </c>
      <c r="AK4">
        <v>42</v>
      </c>
      <c r="AL4" t="s">
        <v>77</v>
      </c>
      <c r="AM4">
        <v>3381000</v>
      </c>
      <c r="AN4">
        <v>2.53E-2</v>
      </c>
      <c r="AO4">
        <v>751</v>
      </c>
      <c r="AP4">
        <v>759</v>
      </c>
      <c r="AQ4" t="s">
        <v>100</v>
      </c>
      <c r="AR4" t="s">
        <v>101</v>
      </c>
      <c r="AS4">
        <v>1</v>
      </c>
      <c r="AT4">
        <v>1.66E-2</v>
      </c>
      <c r="AU4">
        <v>0.64929999999999999</v>
      </c>
      <c r="AV4">
        <v>300458.28000000003</v>
      </c>
      <c r="AW4">
        <v>3238.45</v>
      </c>
      <c r="AX4" t="b">
        <v>0</v>
      </c>
      <c r="AY4" t="b">
        <v>0</v>
      </c>
      <c r="AZ4" t="s">
        <v>80</v>
      </c>
      <c r="BA4">
        <v>0</v>
      </c>
      <c r="BB4">
        <v>0</v>
      </c>
      <c r="BC4">
        <v>0</v>
      </c>
      <c r="BD4">
        <v>0</v>
      </c>
      <c r="BE4" t="s">
        <v>81</v>
      </c>
      <c r="BF4" t="b">
        <v>1</v>
      </c>
    </row>
    <row r="5" spans="1:58" x14ac:dyDescent="0.3">
      <c r="A5" t="s">
        <v>102</v>
      </c>
      <c r="B5" t="s">
        <v>67</v>
      </c>
      <c r="C5" t="s">
        <v>103</v>
      </c>
      <c r="D5" t="s">
        <v>84</v>
      </c>
      <c r="E5" t="s">
        <v>85</v>
      </c>
      <c r="F5" t="s">
        <v>86</v>
      </c>
      <c r="G5" s="1">
        <v>45061</v>
      </c>
      <c r="H5" s="1">
        <v>45596</v>
      </c>
      <c r="I5" s="1">
        <v>47581</v>
      </c>
      <c r="J5">
        <v>1410200</v>
      </c>
      <c r="K5">
        <v>84</v>
      </c>
      <c r="L5">
        <v>67</v>
      </c>
      <c r="M5">
        <v>17</v>
      </c>
      <c r="N5">
        <v>13.53</v>
      </c>
      <c r="O5">
        <v>26062.38</v>
      </c>
      <c r="P5" t="s">
        <v>72</v>
      </c>
      <c r="Q5">
        <v>1014259.22</v>
      </c>
      <c r="R5">
        <v>26062.38</v>
      </c>
      <c r="S5">
        <v>27153.07</v>
      </c>
      <c r="T5" s="1">
        <v>45576</v>
      </c>
      <c r="U5" t="s">
        <v>73</v>
      </c>
      <c r="V5">
        <v>0</v>
      </c>
      <c r="W5">
        <v>17</v>
      </c>
      <c r="X5">
        <v>17</v>
      </c>
      <c r="Y5">
        <v>0</v>
      </c>
      <c r="Z5">
        <v>0</v>
      </c>
      <c r="AA5">
        <v>0</v>
      </c>
      <c r="AB5" t="s">
        <v>104</v>
      </c>
      <c r="AC5" t="s">
        <v>105</v>
      </c>
      <c r="AD5">
        <v>2023</v>
      </c>
      <c r="AE5" t="s">
        <v>90</v>
      </c>
      <c r="AF5" t="b">
        <v>1</v>
      </c>
      <c r="AG5">
        <v>1796000</v>
      </c>
      <c r="AH5">
        <v>1426358.11</v>
      </c>
      <c r="AI5">
        <v>0.78520000000000001</v>
      </c>
      <c r="AJ5">
        <v>0.70950000000000002</v>
      </c>
      <c r="AK5">
        <v>30</v>
      </c>
      <c r="AL5" t="s">
        <v>106</v>
      </c>
      <c r="AM5">
        <v>2097000</v>
      </c>
      <c r="AN5">
        <v>0.14910000000000001</v>
      </c>
      <c r="AO5">
        <v>725</v>
      </c>
      <c r="AP5">
        <v>730</v>
      </c>
      <c r="AQ5" t="s">
        <v>100</v>
      </c>
      <c r="AR5" t="s">
        <v>107</v>
      </c>
      <c r="AS5">
        <v>1</v>
      </c>
      <c r="AT5">
        <v>2.41E-2</v>
      </c>
      <c r="AU5">
        <v>0.50229999999999997</v>
      </c>
      <c r="AV5">
        <v>1024346.59</v>
      </c>
      <c r="AW5">
        <v>12400.16</v>
      </c>
      <c r="AX5" t="b">
        <v>0</v>
      </c>
      <c r="AY5" t="b">
        <v>0</v>
      </c>
      <c r="AZ5" t="s">
        <v>80</v>
      </c>
      <c r="BA5">
        <v>0</v>
      </c>
      <c r="BB5">
        <v>0</v>
      </c>
      <c r="BC5">
        <v>0</v>
      </c>
      <c r="BD5">
        <v>0</v>
      </c>
      <c r="BE5" t="s">
        <v>108</v>
      </c>
      <c r="BF5" t="b">
        <v>1</v>
      </c>
    </row>
    <row r="6" spans="1:58" x14ac:dyDescent="0.3">
      <c r="A6" t="s">
        <v>109</v>
      </c>
      <c r="B6" t="s">
        <v>67</v>
      </c>
      <c r="C6" t="s">
        <v>110</v>
      </c>
      <c r="D6" t="s">
        <v>84</v>
      </c>
      <c r="E6" t="s">
        <v>85</v>
      </c>
      <c r="F6" t="s">
        <v>86</v>
      </c>
      <c r="G6" s="1">
        <v>44426</v>
      </c>
      <c r="H6" s="1">
        <v>45596</v>
      </c>
      <c r="I6" s="1">
        <v>45506</v>
      </c>
      <c r="J6">
        <v>1703600</v>
      </c>
      <c r="K6">
        <v>36</v>
      </c>
      <c r="L6">
        <v>0</v>
      </c>
      <c r="M6">
        <v>38</v>
      </c>
      <c r="N6">
        <v>12.62</v>
      </c>
      <c r="O6">
        <v>57089.7</v>
      </c>
      <c r="P6" t="s">
        <v>72</v>
      </c>
      <c r="Q6">
        <v>0</v>
      </c>
      <c r="R6">
        <v>57089.7</v>
      </c>
      <c r="S6">
        <v>57397.54</v>
      </c>
      <c r="T6" s="1">
        <v>45582</v>
      </c>
      <c r="U6" t="s">
        <v>73</v>
      </c>
      <c r="V6">
        <v>0</v>
      </c>
      <c r="W6">
        <v>38</v>
      </c>
      <c r="X6">
        <v>38</v>
      </c>
      <c r="Y6">
        <v>0</v>
      </c>
      <c r="Z6">
        <v>0</v>
      </c>
      <c r="AA6">
        <v>0</v>
      </c>
      <c r="AB6" t="s">
        <v>111</v>
      </c>
      <c r="AC6" t="s">
        <v>112</v>
      </c>
      <c r="AD6">
        <v>2021</v>
      </c>
      <c r="AE6" t="s">
        <v>76</v>
      </c>
      <c r="AF6" t="b">
        <v>1</v>
      </c>
      <c r="AG6">
        <v>1829000</v>
      </c>
      <c r="AH6">
        <v>896909.34</v>
      </c>
      <c r="AI6">
        <v>0.93140000000000001</v>
      </c>
      <c r="AJ6">
        <v>0</v>
      </c>
      <c r="AK6">
        <v>59</v>
      </c>
      <c r="AL6" t="s">
        <v>77</v>
      </c>
      <c r="AM6">
        <v>903000</v>
      </c>
      <c r="AN6">
        <v>0.75870000000000004</v>
      </c>
      <c r="AO6">
        <v>771</v>
      </c>
      <c r="AP6">
        <v>791</v>
      </c>
      <c r="AQ6" t="s">
        <v>100</v>
      </c>
      <c r="AR6" t="s">
        <v>101</v>
      </c>
      <c r="AS6">
        <v>1</v>
      </c>
      <c r="AT6">
        <v>1.9300000000000001E-2</v>
      </c>
      <c r="AU6">
        <v>0.50529999999999997</v>
      </c>
      <c r="AV6">
        <v>0</v>
      </c>
      <c r="AW6">
        <v>0</v>
      </c>
      <c r="AX6" t="b">
        <v>0</v>
      </c>
      <c r="AY6" t="b">
        <v>0</v>
      </c>
      <c r="AZ6" t="s">
        <v>80</v>
      </c>
      <c r="BA6">
        <v>0</v>
      </c>
      <c r="BB6">
        <v>0</v>
      </c>
      <c r="BC6">
        <v>0</v>
      </c>
      <c r="BD6">
        <v>0</v>
      </c>
      <c r="BE6" t="s">
        <v>108</v>
      </c>
      <c r="BF6" t="b">
        <v>1</v>
      </c>
    </row>
    <row r="7" spans="1:58" x14ac:dyDescent="0.3">
      <c r="A7" t="s">
        <v>113</v>
      </c>
      <c r="B7" t="s">
        <v>67</v>
      </c>
      <c r="C7" t="s">
        <v>114</v>
      </c>
      <c r="D7" t="s">
        <v>84</v>
      </c>
      <c r="E7" t="s">
        <v>85</v>
      </c>
      <c r="F7" t="s">
        <v>115</v>
      </c>
      <c r="G7" s="1">
        <v>45489</v>
      </c>
      <c r="H7" s="1">
        <v>45596</v>
      </c>
      <c r="I7" s="1">
        <v>48009</v>
      </c>
      <c r="J7">
        <v>472100</v>
      </c>
      <c r="K7">
        <v>84</v>
      </c>
      <c r="L7">
        <v>81</v>
      </c>
      <c r="M7">
        <v>3</v>
      </c>
      <c r="N7">
        <v>8.43</v>
      </c>
      <c r="O7">
        <v>7459.8</v>
      </c>
      <c r="P7" t="s">
        <v>116</v>
      </c>
      <c r="Q7">
        <v>472100</v>
      </c>
      <c r="R7">
        <v>7459.8</v>
      </c>
      <c r="S7">
        <v>7421.47</v>
      </c>
      <c r="T7" s="1">
        <v>45569</v>
      </c>
      <c r="U7" t="s">
        <v>73</v>
      </c>
      <c r="V7">
        <v>0</v>
      </c>
      <c r="W7">
        <v>3</v>
      </c>
      <c r="X7">
        <v>3</v>
      </c>
      <c r="Y7">
        <v>0</v>
      </c>
      <c r="Z7">
        <v>0</v>
      </c>
      <c r="AA7">
        <v>0</v>
      </c>
      <c r="AB7" t="s">
        <v>117</v>
      </c>
      <c r="AC7" t="s">
        <v>118</v>
      </c>
      <c r="AD7">
        <v>2023</v>
      </c>
      <c r="AE7" t="s">
        <v>119</v>
      </c>
      <c r="AF7" t="b">
        <v>0</v>
      </c>
      <c r="AG7">
        <v>566000</v>
      </c>
      <c r="AH7">
        <v>511084.7</v>
      </c>
      <c r="AI7">
        <v>0.83409999999999995</v>
      </c>
      <c r="AJ7">
        <v>0.86519999999999997</v>
      </c>
      <c r="AK7">
        <v>58</v>
      </c>
      <c r="AL7" t="s">
        <v>120</v>
      </c>
      <c r="AM7">
        <v>1442000</v>
      </c>
      <c r="AN7">
        <v>6.2100000000000002E-2</v>
      </c>
      <c r="AO7">
        <v>771</v>
      </c>
      <c r="AP7">
        <v>773</v>
      </c>
      <c r="AQ7" t="s">
        <v>100</v>
      </c>
      <c r="AR7" t="s">
        <v>121</v>
      </c>
      <c r="AS7">
        <v>1</v>
      </c>
      <c r="AT7">
        <v>1.47E-2</v>
      </c>
      <c r="AU7">
        <v>0.56850000000000001</v>
      </c>
      <c r="AV7">
        <v>490997.99</v>
      </c>
      <c r="AW7">
        <v>4103.25</v>
      </c>
      <c r="AX7" t="b">
        <v>0</v>
      </c>
      <c r="AY7" t="b">
        <v>0</v>
      </c>
      <c r="AZ7" t="s">
        <v>80</v>
      </c>
      <c r="BA7">
        <v>0</v>
      </c>
      <c r="BB7">
        <v>0</v>
      </c>
      <c r="BC7">
        <v>0</v>
      </c>
      <c r="BD7">
        <v>0</v>
      </c>
      <c r="BE7" t="s">
        <v>108</v>
      </c>
      <c r="BF7" t="b">
        <v>1</v>
      </c>
    </row>
    <row r="8" spans="1:58" x14ac:dyDescent="0.3">
      <c r="A8" t="s">
        <v>122</v>
      </c>
      <c r="B8" t="s">
        <v>67</v>
      </c>
      <c r="C8" t="s">
        <v>123</v>
      </c>
      <c r="D8" t="s">
        <v>84</v>
      </c>
      <c r="E8" t="s">
        <v>85</v>
      </c>
      <c r="F8" t="s">
        <v>124</v>
      </c>
      <c r="G8" s="1">
        <v>45144</v>
      </c>
      <c r="H8" s="1">
        <v>45596</v>
      </c>
      <c r="I8" s="1">
        <v>47664</v>
      </c>
      <c r="J8">
        <v>669200</v>
      </c>
      <c r="K8">
        <v>84</v>
      </c>
      <c r="L8">
        <v>70</v>
      </c>
      <c r="M8">
        <v>14</v>
      </c>
      <c r="N8">
        <v>13.35</v>
      </c>
      <c r="O8">
        <v>12301.76</v>
      </c>
      <c r="P8" t="s">
        <v>72</v>
      </c>
      <c r="Q8">
        <v>582956.54</v>
      </c>
      <c r="R8">
        <v>12301.76</v>
      </c>
      <c r="S8">
        <v>12072.46</v>
      </c>
      <c r="T8" s="1">
        <v>45593</v>
      </c>
      <c r="U8" t="s">
        <v>73</v>
      </c>
      <c r="V8">
        <v>0</v>
      </c>
      <c r="W8">
        <v>14</v>
      </c>
      <c r="X8">
        <v>14</v>
      </c>
      <c r="Y8">
        <v>0</v>
      </c>
      <c r="Z8">
        <v>0</v>
      </c>
      <c r="AA8">
        <v>0</v>
      </c>
      <c r="AB8" t="s">
        <v>125</v>
      </c>
      <c r="AC8" t="s">
        <v>126</v>
      </c>
      <c r="AD8">
        <v>2023</v>
      </c>
      <c r="AE8" t="s">
        <v>90</v>
      </c>
      <c r="AF8" t="b">
        <v>1</v>
      </c>
      <c r="AG8">
        <v>808000</v>
      </c>
      <c r="AH8">
        <v>683573.78</v>
      </c>
      <c r="AI8">
        <v>0.82830000000000004</v>
      </c>
      <c r="AJ8">
        <v>0.86719999999999997</v>
      </c>
      <c r="AK8">
        <v>38</v>
      </c>
      <c r="AL8" t="s">
        <v>77</v>
      </c>
      <c r="AM8">
        <v>2210000</v>
      </c>
      <c r="AN8">
        <v>6.6799999999999998E-2</v>
      </c>
      <c r="AO8">
        <v>773</v>
      </c>
      <c r="AP8">
        <v>750</v>
      </c>
      <c r="AQ8" t="s">
        <v>127</v>
      </c>
      <c r="AR8" t="s">
        <v>128</v>
      </c>
      <c r="AS8">
        <v>1</v>
      </c>
      <c r="AT8">
        <v>1.5900000000000001E-2</v>
      </c>
      <c r="AU8">
        <v>0.439</v>
      </c>
      <c r="AV8">
        <v>611192.31000000006</v>
      </c>
      <c r="AW8">
        <v>4266.18</v>
      </c>
      <c r="AX8" t="b">
        <v>0</v>
      </c>
      <c r="AY8" t="b">
        <v>0</v>
      </c>
      <c r="AZ8" t="s">
        <v>80</v>
      </c>
      <c r="BA8">
        <v>0</v>
      </c>
      <c r="BB8">
        <v>0</v>
      </c>
      <c r="BC8">
        <v>0</v>
      </c>
      <c r="BD8">
        <v>0</v>
      </c>
      <c r="BE8" t="s">
        <v>108</v>
      </c>
      <c r="BF8" t="b">
        <v>1</v>
      </c>
    </row>
    <row r="9" spans="1:58" x14ac:dyDescent="0.3">
      <c r="A9" t="s">
        <v>129</v>
      </c>
      <c r="B9" t="s">
        <v>67</v>
      </c>
      <c r="C9" t="s">
        <v>130</v>
      </c>
      <c r="D9" t="s">
        <v>69</v>
      </c>
      <c r="E9" t="s">
        <v>70</v>
      </c>
      <c r="F9" t="s">
        <v>115</v>
      </c>
      <c r="G9" s="1">
        <v>45226</v>
      </c>
      <c r="H9" s="1">
        <v>45596</v>
      </c>
      <c r="I9" s="1">
        <v>47386</v>
      </c>
      <c r="J9">
        <v>348700</v>
      </c>
      <c r="K9">
        <v>72</v>
      </c>
      <c r="L9">
        <v>60</v>
      </c>
      <c r="M9">
        <v>12</v>
      </c>
      <c r="N9">
        <v>8.34</v>
      </c>
      <c r="O9">
        <v>6171.89</v>
      </c>
      <c r="P9" t="s">
        <v>116</v>
      </c>
      <c r="Q9">
        <v>300330.40000000002</v>
      </c>
      <c r="R9">
        <v>6171.89</v>
      </c>
      <c r="S9">
        <v>654.01</v>
      </c>
      <c r="T9" s="1">
        <v>45574</v>
      </c>
      <c r="U9" t="s">
        <v>131</v>
      </c>
      <c r="V9">
        <v>82</v>
      </c>
      <c r="W9">
        <v>12</v>
      </c>
      <c r="X9">
        <v>9</v>
      </c>
      <c r="Y9">
        <v>2</v>
      </c>
      <c r="Z9">
        <v>1</v>
      </c>
      <c r="AA9">
        <v>1</v>
      </c>
      <c r="AB9" t="s">
        <v>97</v>
      </c>
      <c r="AC9" t="s">
        <v>98</v>
      </c>
      <c r="AD9">
        <v>2018</v>
      </c>
      <c r="AE9" t="s">
        <v>99</v>
      </c>
      <c r="AF9" t="b">
        <v>0</v>
      </c>
      <c r="AG9">
        <v>559000</v>
      </c>
      <c r="AH9">
        <v>514953.01</v>
      </c>
      <c r="AI9">
        <v>0.62380000000000002</v>
      </c>
      <c r="AJ9">
        <v>0.62760000000000005</v>
      </c>
      <c r="AK9">
        <v>60</v>
      </c>
      <c r="AL9" t="s">
        <v>132</v>
      </c>
      <c r="AM9">
        <v>1490000</v>
      </c>
      <c r="AN9">
        <v>4.9700000000000001E-2</v>
      </c>
      <c r="AO9">
        <v>799</v>
      </c>
      <c r="AP9">
        <v>821</v>
      </c>
      <c r="AQ9" t="s">
        <v>78</v>
      </c>
      <c r="AR9" t="s">
        <v>133</v>
      </c>
      <c r="AS9">
        <v>2</v>
      </c>
      <c r="AT9">
        <v>0.11700000000000001</v>
      </c>
      <c r="AU9">
        <v>0.64949999999999997</v>
      </c>
      <c r="AV9">
        <v>315288.3</v>
      </c>
      <c r="AW9">
        <v>23959.23</v>
      </c>
      <c r="AX9" t="b">
        <v>0</v>
      </c>
      <c r="AY9" t="b">
        <v>0</v>
      </c>
      <c r="AZ9" t="s">
        <v>80</v>
      </c>
      <c r="BA9">
        <v>0</v>
      </c>
      <c r="BB9">
        <v>0</v>
      </c>
      <c r="BC9">
        <v>0</v>
      </c>
      <c r="BD9">
        <v>0</v>
      </c>
      <c r="BE9" t="s">
        <v>134</v>
      </c>
      <c r="BF9" t="b">
        <v>1</v>
      </c>
    </row>
    <row r="10" spans="1:58" x14ac:dyDescent="0.3">
      <c r="A10" t="s">
        <v>135</v>
      </c>
      <c r="B10" t="s">
        <v>67</v>
      </c>
      <c r="C10" t="s">
        <v>136</v>
      </c>
      <c r="D10" t="s">
        <v>69</v>
      </c>
      <c r="E10" t="s">
        <v>70</v>
      </c>
      <c r="F10" t="s">
        <v>115</v>
      </c>
      <c r="G10" s="1">
        <v>44697</v>
      </c>
      <c r="H10" s="1">
        <v>45596</v>
      </c>
      <c r="I10" s="1">
        <v>47217</v>
      </c>
      <c r="J10">
        <v>1200000</v>
      </c>
      <c r="K10">
        <v>84</v>
      </c>
      <c r="L10">
        <v>55</v>
      </c>
      <c r="M10">
        <v>29</v>
      </c>
      <c r="N10">
        <v>7.55</v>
      </c>
      <c r="O10">
        <v>18435.560000000001</v>
      </c>
      <c r="P10" t="s">
        <v>72</v>
      </c>
      <c r="Q10">
        <v>803444.42</v>
      </c>
      <c r="R10">
        <v>18435.560000000001</v>
      </c>
      <c r="S10">
        <v>17811.669999999998</v>
      </c>
      <c r="T10" s="1">
        <v>45568</v>
      </c>
      <c r="U10" t="s">
        <v>73</v>
      </c>
      <c r="V10">
        <v>0</v>
      </c>
      <c r="W10">
        <v>29</v>
      </c>
      <c r="X10">
        <v>29</v>
      </c>
      <c r="Y10">
        <v>0</v>
      </c>
      <c r="Z10">
        <v>0</v>
      </c>
      <c r="AA10">
        <v>0</v>
      </c>
      <c r="AB10" t="s">
        <v>111</v>
      </c>
      <c r="AC10" t="s">
        <v>112</v>
      </c>
      <c r="AD10">
        <v>2022</v>
      </c>
      <c r="AE10" t="s">
        <v>90</v>
      </c>
      <c r="AF10" t="b">
        <v>1</v>
      </c>
      <c r="AG10">
        <v>1474000</v>
      </c>
      <c r="AH10">
        <v>970981.47</v>
      </c>
      <c r="AI10">
        <v>0.81410000000000005</v>
      </c>
      <c r="AJ10">
        <v>0.83599999999999997</v>
      </c>
      <c r="AK10">
        <v>30</v>
      </c>
      <c r="AL10" t="s">
        <v>77</v>
      </c>
      <c r="AM10">
        <v>1543000</v>
      </c>
      <c r="AN10">
        <v>0.1434</v>
      </c>
      <c r="AO10">
        <v>677</v>
      </c>
      <c r="AP10">
        <v>697</v>
      </c>
      <c r="AQ10" t="s">
        <v>100</v>
      </c>
      <c r="AR10" t="s">
        <v>101</v>
      </c>
      <c r="AS10">
        <v>1</v>
      </c>
      <c r="AT10">
        <v>2.1600000000000001E-2</v>
      </c>
      <c r="AU10">
        <v>0.5988</v>
      </c>
      <c r="AV10">
        <v>805215.48</v>
      </c>
      <c r="AW10">
        <v>10414.719999999999</v>
      </c>
      <c r="AX10" t="b">
        <v>0</v>
      </c>
      <c r="AY10" t="b">
        <v>0</v>
      </c>
      <c r="AZ10" t="s">
        <v>80</v>
      </c>
      <c r="BA10">
        <v>0</v>
      </c>
      <c r="BB10">
        <v>0</v>
      </c>
      <c r="BC10">
        <v>0</v>
      </c>
      <c r="BD10">
        <v>0</v>
      </c>
      <c r="BE10" t="s">
        <v>134</v>
      </c>
      <c r="BF10" t="b">
        <v>1</v>
      </c>
    </row>
    <row r="11" spans="1:58" x14ac:dyDescent="0.3">
      <c r="A11" t="s">
        <v>137</v>
      </c>
      <c r="B11" t="s">
        <v>67</v>
      </c>
      <c r="C11" t="s">
        <v>138</v>
      </c>
      <c r="D11" t="s">
        <v>95</v>
      </c>
      <c r="E11" t="s">
        <v>96</v>
      </c>
      <c r="F11" t="s">
        <v>124</v>
      </c>
      <c r="G11" s="1">
        <v>45072</v>
      </c>
      <c r="H11" s="1">
        <v>45596</v>
      </c>
      <c r="I11" s="1">
        <v>46512</v>
      </c>
      <c r="J11">
        <v>358600</v>
      </c>
      <c r="K11">
        <v>48</v>
      </c>
      <c r="L11">
        <v>31</v>
      </c>
      <c r="M11">
        <v>17</v>
      </c>
      <c r="N11">
        <v>7.79</v>
      </c>
      <c r="O11">
        <v>8719.17</v>
      </c>
      <c r="P11" t="s">
        <v>139</v>
      </c>
      <c r="Q11">
        <v>221104.02</v>
      </c>
      <c r="R11">
        <v>8719.17</v>
      </c>
      <c r="S11">
        <v>754</v>
      </c>
      <c r="T11" s="1">
        <v>45594</v>
      </c>
      <c r="U11" t="s">
        <v>140</v>
      </c>
      <c r="V11">
        <v>180</v>
      </c>
      <c r="W11">
        <v>17</v>
      </c>
      <c r="X11">
        <v>14</v>
      </c>
      <c r="Y11">
        <v>3</v>
      </c>
      <c r="Z11">
        <v>0</v>
      </c>
      <c r="AA11">
        <v>0</v>
      </c>
      <c r="AB11" t="s">
        <v>97</v>
      </c>
      <c r="AC11" t="s">
        <v>98</v>
      </c>
      <c r="AD11">
        <v>2021</v>
      </c>
      <c r="AE11" t="s">
        <v>90</v>
      </c>
      <c r="AF11" t="b">
        <v>0</v>
      </c>
      <c r="AG11">
        <v>452000</v>
      </c>
      <c r="AH11">
        <v>385595.8</v>
      </c>
      <c r="AI11">
        <v>0.79339999999999999</v>
      </c>
      <c r="AJ11">
        <v>0.61450000000000005</v>
      </c>
      <c r="AK11">
        <v>25</v>
      </c>
      <c r="AL11" t="s">
        <v>106</v>
      </c>
      <c r="AM11">
        <v>1698000</v>
      </c>
      <c r="AN11">
        <v>6.1600000000000002E-2</v>
      </c>
      <c r="AO11">
        <v>676</v>
      </c>
      <c r="AP11">
        <v>671</v>
      </c>
      <c r="AQ11" t="s">
        <v>78</v>
      </c>
      <c r="AR11" t="s">
        <v>133</v>
      </c>
      <c r="AS11">
        <v>3</v>
      </c>
      <c r="AT11">
        <v>1</v>
      </c>
      <c r="AU11">
        <v>0.60919999999999996</v>
      </c>
      <c r="AV11">
        <v>230067.02</v>
      </c>
      <c r="AW11">
        <v>140156.82999999999</v>
      </c>
      <c r="AX11" t="b">
        <v>0</v>
      </c>
      <c r="AY11" t="b">
        <v>0</v>
      </c>
      <c r="AZ11" t="s">
        <v>80</v>
      </c>
      <c r="BA11">
        <v>0</v>
      </c>
      <c r="BB11">
        <v>0</v>
      </c>
      <c r="BC11">
        <v>0</v>
      </c>
      <c r="BD11">
        <v>0</v>
      </c>
      <c r="BE11" t="s">
        <v>108</v>
      </c>
      <c r="BF11" t="b">
        <v>0</v>
      </c>
    </row>
    <row r="12" spans="1:58" x14ac:dyDescent="0.3">
      <c r="A12" t="s">
        <v>141</v>
      </c>
      <c r="B12" t="s">
        <v>67</v>
      </c>
      <c r="C12" t="s">
        <v>142</v>
      </c>
      <c r="D12" t="s">
        <v>95</v>
      </c>
      <c r="E12" t="s">
        <v>96</v>
      </c>
      <c r="F12" t="s">
        <v>115</v>
      </c>
      <c r="G12" s="1">
        <v>44652</v>
      </c>
      <c r="H12" s="1">
        <v>45596</v>
      </c>
      <c r="I12" s="1">
        <v>46812</v>
      </c>
      <c r="J12">
        <v>757900</v>
      </c>
      <c r="K12">
        <v>72</v>
      </c>
      <c r="L12">
        <v>42</v>
      </c>
      <c r="M12">
        <v>30</v>
      </c>
      <c r="N12">
        <v>9.8000000000000007</v>
      </c>
      <c r="O12">
        <v>13964.41</v>
      </c>
      <c r="P12" t="s">
        <v>72</v>
      </c>
      <c r="Q12">
        <v>455218.15</v>
      </c>
      <c r="R12">
        <v>13964.41</v>
      </c>
      <c r="S12">
        <v>7673.24</v>
      </c>
      <c r="T12" s="1">
        <v>45584</v>
      </c>
      <c r="U12" t="s">
        <v>143</v>
      </c>
      <c r="V12">
        <v>35</v>
      </c>
      <c r="W12">
        <v>30</v>
      </c>
      <c r="X12">
        <v>25</v>
      </c>
      <c r="Y12">
        <v>2</v>
      </c>
      <c r="Z12">
        <v>2</v>
      </c>
      <c r="AA12">
        <v>0</v>
      </c>
      <c r="AB12" t="s">
        <v>125</v>
      </c>
      <c r="AC12" t="s">
        <v>144</v>
      </c>
      <c r="AD12">
        <v>2022</v>
      </c>
      <c r="AE12" t="s">
        <v>76</v>
      </c>
      <c r="AF12" t="b">
        <v>1</v>
      </c>
      <c r="AG12">
        <v>912000</v>
      </c>
      <c r="AH12">
        <v>567829.76000000001</v>
      </c>
      <c r="AI12">
        <v>0.83099999999999996</v>
      </c>
      <c r="AJ12">
        <v>0.77990000000000004</v>
      </c>
      <c r="AK12">
        <v>41</v>
      </c>
      <c r="AL12" t="s">
        <v>106</v>
      </c>
      <c r="AM12">
        <v>2359000</v>
      </c>
      <c r="AN12">
        <v>7.0999999999999994E-2</v>
      </c>
      <c r="AO12">
        <v>787</v>
      </c>
      <c r="AP12">
        <v>779</v>
      </c>
      <c r="AQ12" t="s">
        <v>145</v>
      </c>
      <c r="AR12" t="s">
        <v>146</v>
      </c>
      <c r="AS12">
        <v>2</v>
      </c>
      <c r="AT12">
        <v>0.11169999999999999</v>
      </c>
      <c r="AU12">
        <v>0.52300000000000002</v>
      </c>
      <c r="AV12">
        <v>461015.87</v>
      </c>
      <c r="AW12">
        <v>26932.13</v>
      </c>
      <c r="AX12" t="b">
        <v>0</v>
      </c>
      <c r="AY12" t="b">
        <v>0</v>
      </c>
      <c r="AZ12" t="s">
        <v>80</v>
      </c>
      <c r="BA12">
        <v>0</v>
      </c>
      <c r="BB12">
        <v>0</v>
      </c>
      <c r="BC12">
        <v>0</v>
      </c>
      <c r="BD12">
        <v>0</v>
      </c>
      <c r="BE12" t="s">
        <v>108</v>
      </c>
      <c r="BF12" t="b">
        <v>1</v>
      </c>
    </row>
    <row r="13" spans="1:58" x14ac:dyDescent="0.3">
      <c r="A13" t="s">
        <v>147</v>
      </c>
      <c r="B13" t="s">
        <v>67</v>
      </c>
      <c r="C13" t="s">
        <v>148</v>
      </c>
      <c r="D13" t="s">
        <v>84</v>
      </c>
      <c r="E13" t="s">
        <v>85</v>
      </c>
      <c r="F13" t="s">
        <v>86</v>
      </c>
      <c r="G13" s="1">
        <v>44340</v>
      </c>
      <c r="H13" s="1">
        <v>45596</v>
      </c>
      <c r="I13" s="1">
        <v>46140</v>
      </c>
      <c r="J13">
        <v>678300</v>
      </c>
      <c r="K13">
        <v>60</v>
      </c>
      <c r="L13">
        <v>19</v>
      </c>
      <c r="M13">
        <v>41</v>
      </c>
      <c r="N13">
        <v>12.17</v>
      </c>
      <c r="O13">
        <v>15146.74</v>
      </c>
      <c r="P13" t="s">
        <v>72</v>
      </c>
      <c r="Q13">
        <v>203824.87</v>
      </c>
      <c r="R13">
        <v>15146.74</v>
      </c>
      <c r="S13">
        <v>15595.12</v>
      </c>
      <c r="T13" s="1">
        <v>45586</v>
      </c>
      <c r="U13" t="s">
        <v>73</v>
      </c>
      <c r="V13">
        <v>0</v>
      </c>
      <c r="W13">
        <v>41</v>
      </c>
      <c r="X13">
        <v>41</v>
      </c>
      <c r="Y13">
        <v>0</v>
      </c>
      <c r="Z13">
        <v>0</v>
      </c>
      <c r="AA13">
        <v>0</v>
      </c>
      <c r="AB13" t="s">
        <v>111</v>
      </c>
      <c r="AC13" t="s">
        <v>112</v>
      </c>
      <c r="AD13">
        <v>2021</v>
      </c>
      <c r="AE13" t="s">
        <v>99</v>
      </c>
      <c r="AF13" t="b">
        <v>1</v>
      </c>
      <c r="AG13">
        <v>962000</v>
      </c>
      <c r="AH13">
        <v>504221.94</v>
      </c>
      <c r="AI13">
        <v>0.70509999999999995</v>
      </c>
      <c r="AJ13">
        <v>0.41710000000000003</v>
      </c>
      <c r="AK13">
        <v>43</v>
      </c>
      <c r="AL13" t="s">
        <v>77</v>
      </c>
      <c r="AM13">
        <v>1202000</v>
      </c>
      <c r="AN13">
        <v>0.1512</v>
      </c>
      <c r="AO13">
        <v>820</v>
      </c>
      <c r="AP13">
        <v>818</v>
      </c>
      <c r="AQ13" t="s">
        <v>100</v>
      </c>
      <c r="AR13" t="s">
        <v>149</v>
      </c>
      <c r="AS13">
        <v>1</v>
      </c>
      <c r="AT13">
        <v>1.9599999999999999E-2</v>
      </c>
      <c r="AU13">
        <v>0.48259999999999997</v>
      </c>
      <c r="AV13">
        <v>206002.75</v>
      </c>
      <c r="AW13">
        <v>1948.57</v>
      </c>
      <c r="AX13" t="b">
        <v>0</v>
      </c>
      <c r="AY13" t="b">
        <v>0</v>
      </c>
      <c r="AZ13" t="s">
        <v>80</v>
      </c>
      <c r="BA13">
        <v>0</v>
      </c>
      <c r="BB13">
        <v>0</v>
      </c>
      <c r="BC13">
        <v>0</v>
      </c>
      <c r="BD13">
        <v>0</v>
      </c>
      <c r="BE13" t="s">
        <v>108</v>
      </c>
      <c r="BF13" t="b">
        <v>0</v>
      </c>
    </row>
    <row r="14" spans="1:58" x14ac:dyDescent="0.3">
      <c r="A14" t="s">
        <v>150</v>
      </c>
      <c r="B14" t="s">
        <v>67</v>
      </c>
      <c r="C14" t="s">
        <v>151</v>
      </c>
      <c r="D14" t="s">
        <v>69</v>
      </c>
      <c r="E14" t="s">
        <v>70</v>
      </c>
      <c r="F14" t="s">
        <v>124</v>
      </c>
      <c r="G14" s="1">
        <v>44778</v>
      </c>
      <c r="H14" s="1">
        <v>45596</v>
      </c>
      <c r="I14" s="1">
        <v>46938</v>
      </c>
      <c r="J14">
        <v>479500</v>
      </c>
      <c r="K14">
        <v>72</v>
      </c>
      <c r="L14">
        <v>46</v>
      </c>
      <c r="M14">
        <v>26</v>
      </c>
      <c r="N14">
        <v>11.78</v>
      </c>
      <c r="O14">
        <v>9319.5499999999993</v>
      </c>
      <c r="P14" t="s">
        <v>116</v>
      </c>
      <c r="Q14">
        <v>311026.19</v>
      </c>
      <c r="R14">
        <v>9319.5499999999993</v>
      </c>
      <c r="S14">
        <v>9475.7199999999993</v>
      </c>
      <c r="T14" s="1">
        <v>45561</v>
      </c>
      <c r="U14" t="s">
        <v>73</v>
      </c>
      <c r="V14">
        <v>0</v>
      </c>
      <c r="W14">
        <v>26</v>
      </c>
      <c r="X14">
        <v>26</v>
      </c>
      <c r="Y14">
        <v>0</v>
      </c>
      <c r="Z14">
        <v>0</v>
      </c>
      <c r="AA14">
        <v>0</v>
      </c>
      <c r="AB14" t="s">
        <v>97</v>
      </c>
      <c r="AC14" t="s">
        <v>152</v>
      </c>
      <c r="AD14">
        <v>2020</v>
      </c>
      <c r="AE14" t="s">
        <v>119</v>
      </c>
      <c r="AF14" t="b">
        <v>0</v>
      </c>
      <c r="AG14">
        <v>788000</v>
      </c>
      <c r="AH14">
        <v>552493.78</v>
      </c>
      <c r="AI14">
        <v>0.60850000000000004</v>
      </c>
      <c r="AJ14">
        <v>0.57369999999999999</v>
      </c>
      <c r="AK14">
        <v>50</v>
      </c>
      <c r="AL14" t="s">
        <v>77</v>
      </c>
      <c r="AM14">
        <v>3676000</v>
      </c>
      <c r="AN14">
        <v>3.04E-2</v>
      </c>
      <c r="AO14">
        <v>748</v>
      </c>
      <c r="AP14">
        <v>761</v>
      </c>
      <c r="AQ14" t="s">
        <v>127</v>
      </c>
      <c r="AR14" t="s">
        <v>153</v>
      </c>
      <c r="AS14">
        <v>1</v>
      </c>
      <c r="AT14">
        <v>1.46E-2</v>
      </c>
      <c r="AU14">
        <v>0.42480000000000001</v>
      </c>
      <c r="AV14">
        <v>324218.93</v>
      </c>
      <c r="AW14">
        <v>2010.83</v>
      </c>
      <c r="AX14" t="b">
        <v>0</v>
      </c>
      <c r="AY14" t="b">
        <v>0</v>
      </c>
      <c r="AZ14" t="s">
        <v>80</v>
      </c>
      <c r="BA14">
        <v>0</v>
      </c>
      <c r="BB14">
        <v>0</v>
      </c>
      <c r="BC14">
        <v>0</v>
      </c>
      <c r="BD14">
        <v>0</v>
      </c>
      <c r="BE14" t="s">
        <v>108</v>
      </c>
      <c r="BF14" t="b">
        <v>0</v>
      </c>
    </row>
    <row r="15" spans="1:58" x14ac:dyDescent="0.3">
      <c r="A15" t="s">
        <v>154</v>
      </c>
      <c r="B15" t="s">
        <v>67</v>
      </c>
      <c r="C15" t="s">
        <v>155</v>
      </c>
      <c r="D15" t="s">
        <v>84</v>
      </c>
      <c r="E15" t="s">
        <v>85</v>
      </c>
      <c r="F15" t="s">
        <v>71</v>
      </c>
      <c r="G15" s="1">
        <v>45103</v>
      </c>
      <c r="H15" s="1">
        <v>45596</v>
      </c>
      <c r="I15" s="1">
        <v>47263</v>
      </c>
      <c r="J15">
        <v>780900</v>
      </c>
      <c r="K15">
        <v>72</v>
      </c>
      <c r="L15">
        <v>56</v>
      </c>
      <c r="M15">
        <v>16</v>
      </c>
      <c r="N15">
        <v>10.65</v>
      </c>
      <c r="O15">
        <v>14724.1</v>
      </c>
      <c r="P15" t="s">
        <v>72</v>
      </c>
      <c r="Q15">
        <v>615120.62</v>
      </c>
      <c r="R15">
        <v>14724.1</v>
      </c>
      <c r="S15">
        <v>15214.25</v>
      </c>
      <c r="T15" s="1">
        <v>45572</v>
      </c>
      <c r="U15" t="s">
        <v>73</v>
      </c>
      <c r="V15">
        <v>0</v>
      </c>
      <c r="W15">
        <v>16</v>
      </c>
      <c r="X15">
        <v>16</v>
      </c>
      <c r="Y15">
        <v>0</v>
      </c>
      <c r="Z15">
        <v>0</v>
      </c>
      <c r="AA15">
        <v>0</v>
      </c>
      <c r="AB15" t="s">
        <v>104</v>
      </c>
      <c r="AC15" t="s">
        <v>156</v>
      </c>
      <c r="AD15">
        <v>2023</v>
      </c>
      <c r="AE15" t="s">
        <v>90</v>
      </c>
      <c r="AF15" t="b">
        <v>1</v>
      </c>
      <c r="AG15">
        <v>1191000</v>
      </c>
      <c r="AH15">
        <v>1040245.48</v>
      </c>
      <c r="AI15">
        <v>0.65569999999999995</v>
      </c>
      <c r="AJ15">
        <v>0.63919999999999999</v>
      </c>
      <c r="AK15">
        <v>40</v>
      </c>
      <c r="AL15" t="s">
        <v>120</v>
      </c>
      <c r="AM15">
        <v>3246000</v>
      </c>
      <c r="AN15">
        <v>5.4399999999999997E-2</v>
      </c>
      <c r="AO15">
        <v>720</v>
      </c>
      <c r="AP15">
        <v>726</v>
      </c>
      <c r="AQ15" t="s">
        <v>145</v>
      </c>
      <c r="AR15" t="s">
        <v>157</v>
      </c>
      <c r="AS15">
        <v>1</v>
      </c>
      <c r="AT15">
        <v>2.2499999999999999E-2</v>
      </c>
      <c r="AU15">
        <v>0.36930000000000002</v>
      </c>
      <c r="AV15">
        <v>627656.76</v>
      </c>
      <c r="AW15">
        <v>5215.3599999999997</v>
      </c>
      <c r="AX15" t="b">
        <v>0</v>
      </c>
      <c r="AY15" t="b">
        <v>0</v>
      </c>
      <c r="AZ15" t="s">
        <v>80</v>
      </c>
      <c r="BA15">
        <v>0</v>
      </c>
      <c r="BB15">
        <v>0</v>
      </c>
      <c r="BC15">
        <v>0</v>
      </c>
      <c r="BD15">
        <v>0</v>
      </c>
      <c r="BE15" t="s">
        <v>81</v>
      </c>
      <c r="BF15" t="b">
        <v>1</v>
      </c>
    </row>
    <row r="16" spans="1:58" x14ac:dyDescent="0.3">
      <c r="A16" t="s">
        <v>158</v>
      </c>
      <c r="B16" t="s">
        <v>67</v>
      </c>
      <c r="C16" t="s">
        <v>159</v>
      </c>
      <c r="D16" t="s">
        <v>84</v>
      </c>
      <c r="E16" t="s">
        <v>85</v>
      </c>
      <c r="F16" t="s">
        <v>115</v>
      </c>
      <c r="G16" s="1">
        <v>45393</v>
      </c>
      <c r="H16" s="1">
        <v>45596</v>
      </c>
      <c r="I16" s="1">
        <v>47553</v>
      </c>
      <c r="J16">
        <v>1182800</v>
      </c>
      <c r="K16">
        <v>72</v>
      </c>
      <c r="L16">
        <v>66</v>
      </c>
      <c r="M16">
        <v>6</v>
      </c>
      <c r="N16">
        <v>11.27</v>
      </c>
      <c r="O16">
        <v>22677.42</v>
      </c>
      <c r="P16" t="s">
        <v>72</v>
      </c>
      <c r="Q16">
        <v>1095287.21</v>
      </c>
      <c r="R16">
        <v>22677.42</v>
      </c>
      <c r="S16">
        <v>21955.66</v>
      </c>
      <c r="T16" s="1">
        <v>45580</v>
      </c>
      <c r="U16" t="s">
        <v>73</v>
      </c>
      <c r="V16">
        <v>0</v>
      </c>
      <c r="W16">
        <v>6</v>
      </c>
      <c r="X16">
        <v>6</v>
      </c>
      <c r="Y16">
        <v>0</v>
      </c>
      <c r="Z16">
        <v>0</v>
      </c>
      <c r="AA16">
        <v>0</v>
      </c>
      <c r="AB16" t="s">
        <v>117</v>
      </c>
      <c r="AC16" t="s">
        <v>160</v>
      </c>
      <c r="AD16">
        <v>2024</v>
      </c>
      <c r="AE16" t="s">
        <v>119</v>
      </c>
      <c r="AF16" t="b">
        <v>1</v>
      </c>
      <c r="AG16">
        <v>1606000</v>
      </c>
      <c r="AH16">
        <v>1454332.05</v>
      </c>
      <c r="AI16">
        <v>0.73650000000000004</v>
      </c>
      <c r="AJ16">
        <v>0.7349</v>
      </c>
      <c r="AK16">
        <v>60</v>
      </c>
      <c r="AL16" t="s">
        <v>77</v>
      </c>
      <c r="AM16">
        <v>2595000</v>
      </c>
      <c r="AN16">
        <v>0.10489999999999999</v>
      </c>
      <c r="AO16">
        <v>719</v>
      </c>
      <c r="AP16">
        <v>724</v>
      </c>
      <c r="AQ16" t="s">
        <v>127</v>
      </c>
      <c r="AR16" t="s">
        <v>128</v>
      </c>
      <c r="AS16">
        <v>1</v>
      </c>
      <c r="AT16">
        <v>2.4899999999999999E-2</v>
      </c>
      <c r="AU16">
        <v>0.52759999999999996</v>
      </c>
      <c r="AV16">
        <v>1131595.97</v>
      </c>
      <c r="AW16">
        <v>14866.05</v>
      </c>
      <c r="AX16" t="b">
        <v>0</v>
      </c>
      <c r="AY16" t="b">
        <v>0</v>
      </c>
      <c r="AZ16" t="s">
        <v>80</v>
      </c>
      <c r="BA16">
        <v>0</v>
      </c>
      <c r="BB16">
        <v>0</v>
      </c>
      <c r="BC16">
        <v>0</v>
      </c>
      <c r="BD16">
        <v>0</v>
      </c>
      <c r="BE16" t="s">
        <v>134</v>
      </c>
      <c r="BF16" t="b">
        <v>1</v>
      </c>
    </row>
    <row r="17" spans="1:58" x14ac:dyDescent="0.3">
      <c r="A17" t="s">
        <v>161</v>
      </c>
      <c r="B17" t="s">
        <v>67</v>
      </c>
      <c r="C17" t="s">
        <v>162</v>
      </c>
      <c r="D17" t="s">
        <v>95</v>
      </c>
      <c r="E17" t="s">
        <v>96</v>
      </c>
      <c r="F17" t="s">
        <v>86</v>
      </c>
      <c r="G17" s="1">
        <v>44630</v>
      </c>
      <c r="H17" s="1">
        <v>45596</v>
      </c>
      <c r="I17" s="1">
        <v>46790</v>
      </c>
      <c r="J17">
        <v>1447000</v>
      </c>
      <c r="K17">
        <v>72</v>
      </c>
      <c r="L17">
        <v>41</v>
      </c>
      <c r="M17">
        <v>31</v>
      </c>
      <c r="N17">
        <v>9.27</v>
      </c>
      <c r="O17">
        <v>26277.279999999999</v>
      </c>
      <c r="P17" t="s">
        <v>72</v>
      </c>
      <c r="Q17">
        <v>751710.94</v>
      </c>
      <c r="R17">
        <v>26277.279999999999</v>
      </c>
      <c r="S17">
        <v>20280.189999999999</v>
      </c>
      <c r="T17" s="1">
        <v>45590</v>
      </c>
      <c r="U17" t="s">
        <v>163</v>
      </c>
      <c r="V17">
        <v>109</v>
      </c>
      <c r="W17">
        <v>31</v>
      </c>
      <c r="X17">
        <v>26</v>
      </c>
      <c r="Y17">
        <v>0</v>
      </c>
      <c r="Z17">
        <v>2</v>
      </c>
      <c r="AA17">
        <v>0</v>
      </c>
      <c r="AB17" t="s">
        <v>164</v>
      </c>
      <c r="AC17" t="s">
        <v>165</v>
      </c>
      <c r="AD17">
        <v>2022</v>
      </c>
      <c r="AE17" t="s">
        <v>166</v>
      </c>
      <c r="AF17" t="b">
        <v>1</v>
      </c>
      <c r="AG17">
        <v>1551000</v>
      </c>
      <c r="AH17">
        <v>989356.23</v>
      </c>
      <c r="AI17">
        <v>0.93289999999999995</v>
      </c>
      <c r="AJ17">
        <v>0.77180000000000004</v>
      </c>
      <c r="AK17">
        <v>58</v>
      </c>
      <c r="AL17" t="s">
        <v>132</v>
      </c>
      <c r="AM17">
        <v>1310000</v>
      </c>
      <c r="AN17">
        <v>0.2407</v>
      </c>
      <c r="AO17">
        <v>816</v>
      </c>
      <c r="AP17">
        <v>774</v>
      </c>
      <c r="AQ17" t="s">
        <v>145</v>
      </c>
      <c r="AR17" t="s">
        <v>146</v>
      </c>
      <c r="AS17">
        <v>3</v>
      </c>
      <c r="AT17">
        <v>0.68059999999999998</v>
      </c>
      <c r="AU17">
        <v>0.53220000000000001</v>
      </c>
      <c r="AV17">
        <v>779822.13</v>
      </c>
      <c r="AW17">
        <v>282463.52</v>
      </c>
      <c r="AX17" t="b">
        <v>0</v>
      </c>
      <c r="AY17" t="b">
        <v>0</v>
      </c>
      <c r="AZ17" t="s">
        <v>80</v>
      </c>
      <c r="BA17">
        <v>0</v>
      </c>
      <c r="BB17">
        <v>0</v>
      </c>
      <c r="BC17">
        <v>0</v>
      </c>
      <c r="BD17">
        <v>0</v>
      </c>
      <c r="BE17" t="s">
        <v>108</v>
      </c>
      <c r="BF17" t="b">
        <v>0</v>
      </c>
    </row>
    <row r="18" spans="1:58" x14ac:dyDescent="0.3">
      <c r="A18" t="s">
        <v>167</v>
      </c>
      <c r="B18" t="s">
        <v>67</v>
      </c>
      <c r="C18" t="s">
        <v>168</v>
      </c>
      <c r="D18" t="s">
        <v>95</v>
      </c>
      <c r="E18" t="s">
        <v>96</v>
      </c>
      <c r="F18" t="s">
        <v>124</v>
      </c>
      <c r="G18" s="1">
        <v>44835</v>
      </c>
      <c r="H18" s="1">
        <v>45596</v>
      </c>
      <c r="I18" s="1">
        <v>46275</v>
      </c>
      <c r="J18">
        <v>594300</v>
      </c>
      <c r="K18">
        <v>48</v>
      </c>
      <c r="L18">
        <v>24</v>
      </c>
      <c r="M18">
        <v>24</v>
      </c>
      <c r="N18">
        <v>8.2100000000000009</v>
      </c>
      <c r="O18">
        <v>14567.25</v>
      </c>
      <c r="P18" t="s">
        <v>72</v>
      </c>
      <c r="Q18">
        <v>301866.40000000002</v>
      </c>
      <c r="R18">
        <v>14567.25</v>
      </c>
      <c r="S18">
        <v>14967.33</v>
      </c>
      <c r="T18" s="1">
        <v>45567</v>
      </c>
      <c r="U18" t="s">
        <v>73</v>
      </c>
      <c r="V18">
        <v>0</v>
      </c>
      <c r="W18">
        <v>24</v>
      </c>
      <c r="X18">
        <v>24</v>
      </c>
      <c r="Y18">
        <v>0</v>
      </c>
      <c r="Z18">
        <v>0</v>
      </c>
      <c r="AA18">
        <v>0</v>
      </c>
      <c r="AB18" t="s">
        <v>104</v>
      </c>
      <c r="AC18" t="s">
        <v>156</v>
      </c>
      <c r="AD18">
        <v>2022</v>
      </c>
      <c r="AE18" t="s">
        <v>76</v>
      </c>
      <c r="AF18" t="b">
        <v>1</v>
      </c>
      <c r="AG18">
        <v>706000</v>
      </c>
      <c r="AH18">
        <v>496195.02</v>
      </c>
      <c r="AI18">
        <v>0.8417</v>
      </c>
      <c r="AJ18">
        <v>0.60050000000000003</v>
      </c>
      <c r="AK18">
        <v>62</v>
      </c>
      <c r="AL18" t="s">
        <v>132</v>
      </c>
      <c r="AM18">
        <v>1871000</v>
      </c>
      <c r="AN18">
        <v>9.3399999999999997E-2</v>
      </c>
      <c r="AO18">
        <v>660</v>
      </c>
      <c r="AP18">
        <v>654</v>
      </c>
      <c r="AQ18" t="s">
        <v>78</v>
      </c>
      <c r="AR18" t="s">
        <v>133</v>
      </c>
      <c r="AS18">
        <v>1</v>
      </c>
      <c r="AT18">
        <v>2.2499999999999999E-2</v>
      </c>
      <c r="AU18">
        <v>0.48060000000000003</v>
      </c>
      <c r="AV18">
        <v>312941.81</v>
      </c>
      <c r="AW18">
        <v>3384</v>
      </c>
      <c r="AX18" t="b">
        <v>0</v>
      </c>
      <c r="AY18" t="b">
        <v>0</v>
      </c>
      <c r="AZ18" t="s">
        <v>80</v>
      </c>
      <c r="BA18">
        <v>0</v>
      </c>
      <c r="BB18">
        <v>0</v>
      </c>
      <c r="BC18">
        <v>0</v>
      </c>
      <c r="BD18">
        <v>0</v>
      </c>
      <c r="BE18" t="s">
        <v>108</v>
      </c>
      <c r="BF18" t="b">
        <v>1</v>
      </c>
    </row>
    <row r="19" spans="1:58" x14ac:dyDescent="0.3">
      <c r="A19" t="s">
        <v>169</v>
      </c>
      <c r="B19" t="s">
        <v>67</v>
      </c>
      <c r="C19" t="s">
        <v>170</v>
      </c>
      <c r="D19" t="s">
        <v>69</v>
      </c>
      <c r="E19" t="s">
        <v>70</v>
      </c>
      <c r="F19" t="s">
        <v>115</v>
      </c>
      <c r="G19" s="1">
        <v>45410</v>
      </c>
      <c r="H19" s="1">
        <v>45596</v>
      </c>
      <c r="I19" s="1">
        <v>47570</v>
      </c>
      <c r="J19">
        <v>444800</v>
      </c>
      <c r="K19">
        <v>72</v>
      </c>
      <c r="L19">
        <v>66</v>
      </c>
      <c r="M19">
        <v>6</v>
      </c>
      <c r="N19">
        <v>11.49</v>
      </c>
      <c r="O19">
        <v>8578.41</v>
      </c>
      <c r="P19" t="s">
        <v>72</v>
      </c>
      <c r="Q19">
        <v>407826.41</v>
      </c>
      <c r="R19">
        <v>8578.41</v>
      </c>
      <c r="S19">
        <v>3368.37</v>
      </c>
      <c r="T19" s="1">
        <v>45595</v>
      </c>
      <c r="U19" t="s">
        <v>87</v>
      </c>
      <c r="V19">
        <v>11</v>
      </c>
      <c r="W19">
        <v>6</v>
      </c>
      <c r="X19">
        <v>5</v>
      </c>
      <c r="Y19">
        <v>0</v>
      </c>
      <c r="Z19">
        <v>0</v>
      </c>
      <c r="AA19">
        <v>0</v>
      </c>
      <c r="AB19" t="s">
        <v>88</v>
      </c>
      <c r="AC19" t="s">
        <v>171</v>
      </c>
      <c r="AD19">
        <v>2024</v>
      </c>
      <c r="AE19" t="s">
        <v>99</v>
      </c>
      <c r="AF19" t="b">
        <v>1</v>
      </c>
      <c r="AG19">
        <v>587000</v>
      </c>
      <c r="AH19">
        <v>500400.3</v>
      </c>
      <c r="AI19">
        <v>0.75780000000000003</v>
      </c>
      <c r="AJ19">
        <v>0.74870000000000003</v>
      </c>
      <c r="AK19">
        <v>23</v>
      </c>
      <c r="AL19" t="s">
        <v>120</v>
      </c>
      <c r="AM19">
        <v>4299000</v>
      </c>
      <c r="AN19">
        <v>2.3900000000000001E-2</v>
      </c>
      <c r="AO19">
        <v>696</v>
      </c>
      <c r="AP19">
        <v>708</v>
      </c>
      <c r="AQ19" t="s">
        <v>100</v>
      </c>
      <c r="AR19" t="s">
        <v>101</v>
      </c>
      <c r="AS19">
        <v>1</v>
      </c>
      <c r="AT19">
        <v>1.6899999999999998E-2</v>
      </c>
      <c r="AU19">
        <v>0.47189999999999999</v>
      </c>
      <c r="AV19">
        <v>419147.19</v>
      </c>
      <c r="AW19">
        <v>3342.74</v>
      </c>
      <c r="AX19" t="b">
        <v>0</v>
      </c>
      <c r="AY19" t="b">
        <v>0</v>
      </c>
      <c r="AZ19" t="s">
        <v>80</v>
      </c>
      <c r="BA19">
        <v>0</v>
      </c>
      <c r="BB19">
        <v>0</v>
      </c>
      <c r="BC19">
        <v>0</v>
      </c>
      <c r="BD19">
        <v>0</v>
      </c>
      <c r="BE19" t="s">
        <v>108</v>
      </c>
      <c r="BF19" t="b">
        <v>1</v>
      </c>
    </row>
    <row r="20" spans="1:58" x14ac:dyDescent="0.3">
      <c r="A20" t="s">
        <v>172</v>
      </c>
      <c r="B20" t="s">
        <v>67</v>
      </c>
      <c r="C20" t="s">
        <v>173</v>
      </c>
      <c r="D20" t="s">
        <v>95</v>
      </c>
      <c r="E20" t="s">
        <v>96</v>
      </c>
      <c r="F20" t="s">
        <v>86</v>
      </c>
      <c r="G20" s="1">
        <v>44650</v>
      </c>
      <c r="H20" s="1">
        <v>45596</v>
      </c>
      <c r="I20" s="1">
        <v>46450</v>
      </c>
      <c r="J20">
        <v>877800</v>
      </c>
      <c r="K20">
        <v>60</v>
      </c>
      <c r="L20">
        <v>29</v>
      </c>
      <c r="M20">
        <v>31</v>
      </c>
      <c r="N20">
        <v>10.48</v>
      </c>
      <c r="O20">
        <v>18858.650000000001</v>
      </c>
      <c r="P20" t="s">
        <v>72</v>
      </c>
      <c r="Q20">
        <v>429314.7</v>
      </c>
      <c r="R20">
        <v>18858.650000000001</v>
      </c>
      <c r="S20">
        <v>18923.02</v>
      </c>
      <c r="T20" s="1">
        <v>45579</v>
      </c>
      <c r="U20" t="s">
        <v>73</v>
      </c>
      <c r="V20">
        <v>0</v>
      </c>
      <c r="W20">
        <v>31</v>
      </c>
      <c r="X20">
        <v>31</v>
      </c>
      <c r="Y20">
        <v>0</v>
      </c>
      <c r="Z20">
        <v>0</v>
      </c>
      <c r="AA20">
        <v>0</v>
      </c>
      <c r="AB20" t="s">
        <v>174</v>
      </c>
      <c r="AC20" t="s">
        <v>175</v>
      </c>
      <c r="AD20">
        <v>2022</v>
      </c>
      <c r="AE20" t="s">
        <v>90</v>
      </c>
      <c r="AF20" t="b">
        <v>1</v>
      </c>
      <c r="AG20">
        <v>1106000</v>
      </c>
      <c r="AH20">
        <v>631433.94999999995</v>
      </c>
      <c r="AI20">
        <v>0.79369999999999996</v>
      </c>
      <c r="AJ20">
        <v>0.61809999999999998</v>
      </c>
      <c r="AK20">
        <v>46</v>
      </c>
      <c r="AL20" t="s">
        <v>120</v>
      </c>
      <c r="AM20">
        <v>1573000</v>
      </c>
      <c r="AN20">
        <v>0.1439</v>
      </c>
      <c r="AO20">
        <v>714</v>
      </c>
      <c r="AP20">
        <v>693</v>
      </c>
      <c r="AQ20" t="s">
        <v>145</v>
      </c>
      <c r="AR20" t="s">
        <v>176</v>
      </c>
      <c r="AS20">
        <v>1</v>
      </c>
      <c r="AT20">
        <v>2.58E-2</v>
      </c>
      <c r="AU20">
        <v>0.5998</v>
      </c>
      <c r="AV20">
        <v>435673.85</v>
      </c>
      <c r="AW20">
        <v>6741.98</v>
      </c>
      <c r="AX20" t="b">
        <v>0</v>
      </c>
      <c r="AY20" t="b">
        <v>0</v>
      </c>
      <c r="AZ20" t="s">
        <v>80</v>
      </c>
      <c r="BA20">
        <v>0</v>
      </c>
      <c r="BB20">
        <v>0</v>
      </c>
      <c r="BC20">
        <v>0</v>
      </c>
      <c r="BD20">
        <v>0</v>
      </c>
      <c r="BE20" t="s">
        <v>108</v>
      </c>
      <c r="BF20" t="b">
        <v>1</v>
      </c>
    </row>
    <row r="21" spans="1:58" x14ac:dyDescent="0.3">
      <c r="A21" t="s">
        <v>177</v>
      </c>
      <c r="B21" t="s">
        <v>67</v>
      </c>
      <c r="C21" t="s">
        <v>178</v>
      </c>
      <c r="D21" t="s">
        <v>95</v>
      </c>
      <c r="E21" t="s">
        <v>96</v>
      </c>
      <c r="F21" t="s">
        <v>115</v>
      </c>
      <c r="G21" s="1">
        <v>44308</v>
      </c>
      <c r="H21" s="1">
        <v>45596</v>
      </c>
      <c r="I21" s="1">
        <v>45388</v>
      </c>
      <c r="J21">
        <v>1289200</v>
      </c>
      <c r="K21">
        <v>36</v>
      </c>
      <c r="L21">
        <v>0</v>
      </c>
      <c r="M21">
        <v>42</v>
      </c>
      <c r="N21">
        <v>13.61</v>
      </c>
      <c r="O21">
        <v>43818</v>
      </c>
      <c r="P21" t="s">
        <v>72</v>
      </c>
      <c r="Q21">
        <v>0</v>
      </c>
      <c r="R21">
        <v>43818</v>
      </c>
      <c r="S21">
        <v>7911.33</v>
      </c>
      <c r="T21" s="1">
        <v>45563</v>
      </c>
      <c r="U21" t="s">
        <v>87</v>
      </c>
      <c r="V21">
        <v>13</v>
      </c>
      <c r="W21">
        <v>42</v>
      </c>
      <c r="X21">
        <v>41</v>
      </c>
      <c r="Y21">
        <v>1</v>
      </c>
      <c r="Z21">
        <v>0</v>
      </c>
      <c r="AA21">
        <v>0</v>
      </c>
      <c r="AB21" t="s">
        <v>97</v>
      </c>
      <c r="AC21" t="s">
        <v>152</v>
      </c>
      <c r="AD21">
        <v>2021</v>
      </c>
      <c r="AE21" t="s">
        <v>76</v>
      </c>
      <c r="AF21" t="b">
        <v>1</v>
      </c>
      <c r="AG21">
        <v>1493000</v>
      </c>
      <c r="AH21">
        <v>722811.32</v>
      </c>
      <c r="AI21">
        <v>0.86350000000000005</v>
      </c>
      <c r="AJ21">
        <v>0</v>
      </c>
      <c r="AK21">
        <v>55</v>
      </c>
      <c r="AL21" t="s">
        <v>120</v>
      </c>
      <c r="AM21">
        <v>1901000</v>
      </c>
      <c r="AN21">
        <v>0.27660000000000001</v>
      </c>
      <c r="AO21">
        <v>663</v>
      </c>
      <c r="AP21">
        <v>645</v>
      </c>
      <c r="AQ21" t="s">
        <v>127</v>
      </c>
      <c r="AR21" t="s">
        <v>128</v>
      </c>
      <c r="AS21">
        <v>1</v>
      </c>
      <c r="AT21">
        <v>2.5899999999999999E-2</v>
      </c>
      <c r="AU21">
        <v>0.38550000000000001</v>
      </c>
      <c r="AV21">
        <v>0</v>
      </c>
      <c r="AW21">
        <v>0</v>
      </c>
      <c r="AX21" t="b">
        <v>0</v>
      </c>
      <c r="AY21" t="b">
        <v>0</v>
      </c>
      <c r="AZ21" t="s">
        <v>80</v>
      </c>
      <c r="BA21">
        <v>0</v>
      </c>
      <c r="BB21">
        <v>0</v>
      </c>
      <c r="BC21">
        <v>0</v>
      </c>
      <c r="BD21">
        <v>0</v>
      </c>
      <c r="BE21" t="s">
        <v>108</v>
      </c>
      <c r="BF21" t="b">
        <v>0</v>
      </c>
    </row>
    <row r="22" spans="1:58" x14ac:dyDescent="0.3">
      <c r="A22" t="s">
        <v>179</v>
      </c>
      <c r="B22" t="s">
        <v>67</v>
      </c>
      <c r="C22" t="s">
        <v>180</v>
      </c>
      <c r="D22" t="s">
        <v>95</v>
      </c>
      <c r="E22" t="s">
        <v>96</v>
      </c>
      <c r="F22" t="s">
        <v>115</v>
      </c>
      <c r="G22" s="1">
        <v>45103</v>
      </c>
      <c r="H22" s="1">
        <v>45596</v>
      </c>
      <c r="I22" s="1">
        <v>46183</v>
      </c>
      <c r="J22">
        <v>1450200</v>
      </c>
      <c r="K22">
        <v>36</v>
      </c>
      <c r="L22">
        <v>20</v>
      </c>
      <c r="M22">
        <v>16</v>
      </c>
      <c r="N22">
        <v>14.13</v>
      </c>
      <c r="O22">
        <v>49656.01</v>
      </c>
      <c r="P22" t="s">
        <v>72</v>
      </c>
      <c r="Q22">
        <v>750211.17</v>
      </c>
      <c r="R22">
        <v>49656.01</v>
      </c>
      <c r="S22">
        <v>49284.28</v>
      </c>
      <c r="T22" s="1">
        <v>45562</v>
      </c>
      <c r="U22" t="s">
        <v>73</v>
      </c>
      <c r="V22">
        <v>0</v>
      </c>
      <c r="W22">
        <v>16</v>
      </c>
      <c r="X22">
        <v>16</v>
      </c>
      <c r="Y22">
        <v>0</v>
      </c>
      <c r="Z22">
        <v>0</v>
      </c>
      <c r="AA22">
        <v>0</v>
      </c>
      <c r="AB22" t="s">
        <v>88</v>
      </c>
      <c r="AC22" t="s">
        <v>181</v>
      </c>
      <c r="AD22">
        <v>2023</v>
      </c>
      <c r="AE22" t="s">
        <v>119</v>
      </c>
      <c r="AF22" t="b">
        <v>1</v>
      </c>
      <c r="AG22">
        <v>2335000</v>
      </c>
      <c r="AH22">
        <v>1782840.7</v>
      </c>
      <c r="AI22">
        <v>0.62109999999999999</v>
      </c>
      <c r="AJ22">
        <v>0.39760000000000001</v>
      </c>
      <c r="AK22">
        <v>39</v>
      </c>
      <c r="AL22" t="s">
        <v>132</v>
      </c>
      <c r="AM22">
        <v>852000</v>
      </c>
      <c r="AN22">
        <v>0.69940000000000002</v>
      </c>
      <c r="AO22">
        <v>669</v>
      </c>
      <c r="AP22">
        <v>639</v>
      </c>
      <c r="AQ22" t="s">
        <v>145</v>
      </c>
      <c r="AR22" t="s">
        <v>182</v>
      </c>
      <c r="AS22">
        <v>1</v>
      </c>
      <c r="AT22">
        <v>2.2200000000000001E-2</v>
      </c>
      <c r="AU22">
        <v>0.62719999999999998</v>
      </c>
      <c r="AV22">
        <v>779763.04</v>
      </c>
      <c r="AW22">
        <v>10857.3</v>
      </c>
      <c r="AX22" t="b">
        <v>0</v>
      </c>
      <c r="AY22" t="b">
        <v>0</v>
      </c>
      <c r="AZ22" t="s">
        <v>80</v>
      </c>
      <c r="BA22">
        <v>0</v>
      </c>
      <c r="BB22">
        <v>0</v>
      </c>
      <c r="BC22">
        <v>0</v>
      </c>
      <c r="BD22">
        <v>0</v>
      </c>
      <c r="BE22" t="s">
        <v>81</v>
      </c>
      <c r="BF22" t="b">
        <v>1</v>
      </c>
    </row>
    <row r="23" spans="1:58" x14ac:dyDescent="0.3">
      <c r="A23" t="s">
        <v>183</v>
      </c>
      <c r="B23" t="s">
        <v>67</v>
      </c>
      <c r="C23" t="s">
        <v>184</v>
      </c>
      <c r="D23" t="s">
        <v>84</v>
      </c>
      <c r="E23" t="s">
        <v>85</v>
      </c>
      <c r="F23" t="s">
        <v>86</v>
      </c>
      <c r="G23" s="1">
        <v>44502</v>
      </c>
      <c r="H23" s="1">
        <v>45596</v>
      </c>
      <c r="I23" s="1">
        <v>45582</v>
      </c>
      <c r="J23">
        <v>1659400</v>
      </c>
      <c r="K23">
        <v>36</v>
      </c>
      <c r="L23">
        <v>1</v>
      </c>
      <c r="M23">
        <v>35</v>
      </c>
      <c r="N23">
        <v>10.78</v>
      </c>
      <c r="O23">
        <v>54153.91</v>
      </c>
      <c r="P23" t="s">
        <v>139</v>
      </c>
      <c r="Q23">
        <v>43587.54</v>
      </c>
      <c r="R23">
        <v>54153.91</v>
      </c>
      <c r="S23">
        <v>52429.05</v>
      </c>
      <c r="T23" s="1">
        <v>45569</v>
      </c>
      <c r="U23" t="s">
        <v>73</v>
      </c>
      <c r="V23">
        <v>0</v>
      </c>
      <c r="W23">
        <v>35</v>
      </c>
      <c r="X23">
        <v>35</v>
      </c>
      <c r="Y23">
        <v>0</v>
      </c>
      <c r="Z23">
        <v>0</v>
      </c>
      <c r="AA23">
        <v>0</v>
      </c>
      <c r="AB23" t="s">
        <v>88</v>
      </c>
      <c r="AC23" t="s">
        <v>89</v>
      </c>
      <c r="AD23">
        <v>2019</v>
      </c>
      <c r="AE23" t="s">
        <v>119</v>
      </c>
      <c r="AF23" t="b">
        <v>0</v>
      </c>
      <c r="AG23">
        <v>1799000</v>
      </c>
      <c r="AH23">
        <v>1071547.4099999999</v>
      </c>
      <c r="AI23">
        <v>0.9224</v>
      </c>
      <c r="AJ23">
        <v>4.1799999999999997E-2</v>
      </c>
      <c r="AK23">
        <v>41</v>
      </c>
      <c r="AL23" t="s">
        <v>120</v>
      </c>
      <c r="AM23">
        <v>2357000</v>
      </c>
      <c r="AN23">
        <v>0.2757</v>
      </c>
      <c r="AO23">
        <v>803</v>
      </c>
      <c r="AP23">
        <v>758</v>
      </c>
      <c r="AQ23" t="s">
        <v>127</v>
      </c>
      <c r="AR23" t="s">
        <v>185</v>
      </c>
      <c r="AS23">
        <v>1</v>
      </c>
      <c r="AT23">
        <v>2.0899999999999998E-2</v>
      </c>
      <c r="AU23">
        <v>0.57889999999999997</v>
      </c>
      <c r="AV23">
        <v>43969.35</v>
      </c>
      <c r="AW23">
        <v>531.99</v>
      </c>
      <c r="AX23" t="b">
        <v>0</v>
      </c>
      <c r="AY23" t="b">
        <v>0</v>
      </c>
      <c r="AZ23" t="s">
        <v>80</v>
      </c>
      <c r="BA23">
        <v>0</v>
      </c>
      <c r="BB23">
        <v>0</v>
      </c>
      <c r="BC23">
        <v>0</v>
      </c>
      <c r="BD23">
        <v>0</v>
      </c>
      <c r="BE23" t="s">
        <v>134</v>
      </c>
      <c r="BF23" t="b">
        <v>1</v>
      </c>
    </row>
    <row r="24" spans="1:58" x14ac:dyDescent="0.3">
      <c r="A24" t="s">
        <v>186</v>
      </c>
      <c r="B24" t="s">
        <v>67</v>
      </c>
      <c r="C24" t="s">
        <v>187</v>
      </c>
      <c r="D24" t="s">
        <v>95</v>
      </c>
      <c r="E24" t="s">
        <v>96</v>
      </c>
      <c r="F24" t="s">
        <v>124</v>
      </c>
      <c r="G24" s="1">
        <v>45204</v>
      </c>
      <c r="H24" s="1">
        <v>45596</v>
      </c>
      <c r="I24" s="1">
        <v>46644</v>
      </c>
      <c r="J24">
        <v>1061200</v>
      </c>
      <c r="K24">
        <v>48</v>
      </c>
      <c r="L24">
        <v>36</v>
      </c>
      <c r="M24">
        <v>12</v>
      </c>
      <c r="N24">
        <v>9.81</v>
      </c>
      <c r="O24">
        <v>26818.05</v>
      </c>
      <c r="P24" t="s">
        <v>72</v>
      </c>
      <c r="Q24">
        <v>799124.23</v>
      </c>
      <c r="R24">
        <v>26818.05</v>
      </c>
      <c r="S24">
        <v>26777.05</v>
      </c>
      <c r="T24" s="1">
        <v>45595</v>
      </c>
      <c r="U24" t="s">
        <v>73</v>
      </c>
      <c r="V24">
        <v>0</v>
      </c>
      <c r="W24">
        <v>12</v>
      </c>
      <c r="X24">
        <v>12</v>
      </c>
      <c r="Y24">
        <v>0</v>
      </c>
      <c r="Z24">
        <v>0</v>
      </c>
      <c r="AA24">
        <v>0</v>
      </c>
      <c r="AB24" t="s">
        <v>74</v>
      </c>
      <c r="AC24" t="s">
        <v>188</v>
      </c>
      <c r="AD24">
        <v>2023</v>
      </c>
      <c r="AE24" t="s">
        <v>119</v>
      </c>
      <c r="AF24" t="b">
        <v>1</v>
      </c>
      <c r="AG24">
        <v>1667000</v>
      </c>
      <c r="AH24">
        <v>1561983.56</v>
      </c>
      <c r="AI24">
        <v>0.63660000000000005</v>
      </c>
      <c r="AJ24">
        <v>0.56000000000000005</v>
      </c>
      <c r="AK24">
        <v>48</v>
      </c>
      <c r="AL24" t="s">
        <v>132</v>
      </c>
      <c r="AM24">
        <v>1218000</v>
      </c>
      <c r="AN24">
        <v>0.26419999999999999</v>
      </c>
      <c r="AO24">
        <v>732</v>
      </c>
      <c r="AP24">
        <v>696</v>
      </c>
      <c r="AQ24" t="s">
        <v>127</v>
      </c>
      <c r="AR24" t="s">
        <v>128</v>
      </c>
      <c r="AS24">
        <v>1</v>
      </c>
      <c r="AT24">
        <v>2.3099999999999999E-2</v>
      </c>
      <c r="AU24">
        <v>0.41110000000000002</v>
      </c>
      <c r="AV24">
        <v>821068.97</v>
      </c>
      <c r="AW24">
        <v>7797.21</v>
      </c>
      <c r="AX24" t="b">
        <v>0</v>
      </c>
      <c r="AY24" t="b">
        <v>0</v>
      </c>
      <c r="AZ24" t="s">
        <v>80</v>
      </c>
      <c r="BA24">
        <v>0</v>
      </c>
      <c r="BB24">
        <v>0</v>
      </c>
      <c r="BC24">
        <v>0</v>
      </c>
      <c r="BD24">
        <v>0</v>
      </c>
      <c r="BE24" t="s">
        <v>108</v>
      </c>
      <c r="BF24" t="b">
        <v>1</v>
      </c>
    </row>
    <row r="25" spans="1:58" x14ac:dyDescent="0.3">
      <c r="A25" t="s">
        <v>189</v>
      </c>
      <c r="B25" t="s">
        <v>67</v>
      </c>
      <c r="C25" t="s">
        <v>190</v>
      </c>
      <c r="D25" t="s">
        <v>95</v>
      </c>
      <c r="E25" t="s">
        <v>96</v>
      </c>
      <c r="F25" t="s">
        <v>124</v>
      </c>
      <c r="G25" s="1">
        <v>45443</v>
      </c>
      <c r="H25" s="1">
        <v>45596</v>
      </c>
      <c r="I25" s="1">
        <v>46523</v>
      </c>
      <c r="J25">
        <v>518100</v>
      </c>
      <c r="K25">
        <v>36</v>
      </c>
      <c r="L25">
        <v>31</v>
      </c>
      <c r="M25">
        <v>5</v>
      </c>
      <c r="N25">
        <v>10.73</v>
      </c>
      <c r="O25">
        <v>16895.759999999998</v>
      </c>
      <c r="P25" t="s">
        <v>72</v>
      </c>
      <c r="Q25">
        <v>409388.48</v>
      </c>
      <c r="R25">
        <v>16895.759999999998</v>
      </c>
      <c r="S25">
        <v>7838.6</v>
      </c>
      <c r="T25" s="1">
        <v>45565</v>
      </c>
      <c r="U25" t="s">
        <v>87</v>
      </c>
      <c r="V25">
        <v>16</v>
      </c>
      <c r="W25">
        <v>5</v>
      </c>
      <c r="X25">
        <v>4</v>
      </c>
      <c r="Y25">
        <v>1</v>
      </c>
      <c r="Z25">
        <v>0</v>
      </c>
      <c r="AA25">
        <v>0</v>
      </c>
      <c r="AB25" t="s">
        <v>125</v>
      </c>
      <c r="AC25" t="s">
        <v>191</v>
      </c>
      <c r="AD25">
        <v>2024</v>
      </c>
      <c r="AE25" t="s">
        <v>99</v>
      </c>
      <c r="AF25" t="b">
        <v>1</v>
      </c>
      <c r="AG25">
        <v>819000</v>
      </c>
      <c r="AH25">
        <v>826099.9</v>
      </c>
      <c r="AI25">
        <v>0.63260000000000005</v>
      </c>
      <c r="AJ25">
        <v>0.53180000000000005</v>
      </c>
      <c r="AK25">
        <v>31</v>
      </c>
      <c r="AL25" t="s">
        <v>120</v>
      </c>
      <c r="AM25">
        <v>4683000</v>
      </c>
      <c r="AN25">
        <v>4.3299999999999998E-2</v>
      </c>
      <c r="AO25">
        <v>724</v>
      </c>
      <c r="AP25">
        <v>739</v>
      </c>
      <c r="AQ25" t="s">
        <v>91</v>
      </c>
      <c r="AR25" t="s">
        <v>192</v>
      </c>
      <c r="AS25">
        <v>1</v>
      </c>
      <c r="AT25">
        <v>1.8100000000000002E-2</v>
      </c>
      <c r="AU25">
        <v>0.58630000000000004</v>
      </c>
      <c r="AV25">
        <v>414857.35</v>
      </c>
      <c r="AW25">
        <v>4402.4799999999996</v>
      </c>
      <c r="AX25" t="b">
        <v>0</v>
      </c>
      <c r="AY25" t="b">
        <v>0</v>
      </c>
      <c r="AZ25" t="s">
        <v>80</v>
      </c>
      <c r="BA25">
        <v>0</v>
      </c>
      <c r="BB25">
        <v>0</v>
      </c>
      <c r="BC25">
        <v>0</v>
      </c>
      <c r="BD25">
        <v>36801.550000000003</v>
      </c>
      <c r="BE25" t="s">
        <v>108</v>
      </c>
      <c r="BF25" t="b">
        <v>0</v>
      </c>
    </row>
    <row r="26" spans="1:58" x14ac:dyDescent="0.3">
      <c r="A26" t="s">
        <v>193</v>
      </c>
      <c r="B26" t="s">
        <v>67</v>
      </c>
      <c r="C26" t="s">
        <v>194</v>
      </c>
      <c r="D26" t="s">
        <v>69</v>
      </c>
      <c r="E26" t="s">
        <v>70</v>
      </c>
      <c r="F26" t="s">
        <v>86</v>
      </c>
      <c r="G26" s="1">
        <v>45111</v>
      </c>
      <c r="H26" s="1">
        <v>45596</v>
      </c>
      <c r="I26" s="1">
        <v>46911</v>
      </c>
      <c r="J26">
        <v>1126600</v>
      </c>
      <c r="K26">
        <v>60</v>
      </c>
      <c r="L26">
        <v>45</v>
      </c>
      <c r="M26">
        <v>15</v>
      </c>
      <c r="N26">
        <v>13.59</v>
      </c>
      <c r="O26">
        <v>25975.16</v>
      </c>
      <c r="P26" t="s">
        <v>72</v>
      </c>
      <c r="Q26">
        <v>884760.83</v>
      </c>
      <c r="R26">
        <v>25975.16</v>
      </c>
      <c r="S26">
        <v>25050.85</v>
      </c>
      <c r="T26" s="1">
        <v>45587</v>
      </c>
      <c r="U26" t="s">
        <v>73</v>
      </c>
      <c r="V26">
        <v>0</v>
      </c>
      <c r="W26">
        <v>15</v>
      </c>
      <c r="X26">
        <v>15</v>
      </c>
      <c r="Y26">
        <v>0</v>
      </c>
      <c r="Z26">
        <v>0</v>
      </c>
      <c r="AA26">
        <v>0</v>
      </c>
      <c r="AB26" t="s">
        <v>97</v>
      </c>
      <c r="AC26" t="s">
        <v>152</v>
      </c>
      <c r="AD26">
        <v>2023</v>
      </c>
      <c r="AE26" t="s">
        <v>90</v>
      </c>
      <c r="AF26" t="b">
        <v>1</v>
      </c>
      <c r="AG26">
        <v>1539000</v>
      </c>
      <c r="AH26">
        <v>1154668.3500000001</v>
      </c>
      <c r="AI26">
        <v>0.73199999999999998</v>
      </c>
      <c r="AJ26">
        <v>0.70109999999999995</v>
      </c>
      <c r="AK26">
        <v>59</v>
      </c>
      <c r="AL26" t="s">
        <v>120</v>
      </c>
      <c r="AM26">
        <v>1398000</v>
      </c>
      <c r="AN26">
        <v>0.223</v>
      </c>
      <c r="AO26">
        <v>848</v>
      </c>
      <c r="AP26">
        <v>850</v>
      </c>
      <c r="AQ26" t="s">
        <v>145</v>
      </c>
      <c r="AR26" t="s">
        <v>157</v>
      </c>
      <c r="AS26">
        <v>1</v>
      </c>
      <c r="AT26">
        <v>2.4400000000000002E-2</v>
      </c>
      <c r="AU26">
        <v>0.61229999999999996</v>
      </c>
      <c r="AV26">
        <v>904239.11</v>
      </c>
      <c r="AW26">
        <v>13509.44</v>
      </c>
      <c r="AX26" t="b">
        <v>0</v>
      </c>
      <c r="AY26" t="b">
        <v>0</v>
      </c>
      <c r="AZ26" t="s">
        <v>80</v>
      </c>
      <c r="BA26">
        <v>0</v>
      </c>
      <c r="BB26">
        <v>0</v>
      </c>
      <c r="BC26">
        <v>0</v>
      </c>
      <c r="BD26">
        <v>0</v>
      </c>
      <c r="BE26" t="s">
        <v>108</v>
      </c>
      <c r="BF26" t="b">
        <v>1</v>
      </c>
    </row>
    <row r="27" spans="1:58" x14ac:dyDescent="0.3">
      <c r="A27" t="s">
        <v>195</v>
      </c>
      <c r="B27" t="s">
        <v>67</v>
      </c>
      <c r="C27" t="s">
        <v>196</v>
      </c>
      <c r="D27" t="s">
        <v>95</v>
      </c>
      <c r="E27" t="s">
        <v>96</v>
      </c>
      <c r="F27" t="s">
        <v>115</v>
      </c>
      <c r="G27" s="1">
        <v>44739</v>
      </c>
      <c r="H27" s="1">
        <v>45596</v>
      </c>
      <c r="I27" s="1">
        <v>46899</v>
      </c>
      <c r="J27">
        <v>2793300</v>
      </c>
      <c r="K27">
        <v>72</v>
      </c>
      <c r="L27">
        <v>44</v>
      </c>
      <c r="M27">
        <v>28</v>
      </c>
      <c r="N27">
        <v>14.18</v>
      </c>
      <c r="O27">
        <v>57827.59</v>
      </c>
      <c r="P27" t="s">
        <v>72</v>
      </c>
      <c r="Q27">
        <v>1696808.5</v>
      </c>
      <c r="R27">
        <v>57827.59</v>
      </c>
      <c r="S27">
        <v>57319.01</v>
      </c>
      <c r="T27" s="1">
        <v>45585</v>
      </c>
      <c r="U27" t="s">
        <v>73</v>
      </c>
      <c r="V27">
        <v>0</v>
      </c>
      <c r="W27">
        <v>28</v>
      </c>
      <c r="X27">
        <v>28</v>
      </c>
      <c r="Y27">
        <v>0</v>
      </c>
      <c r="Z27">
        <v>0</v>
      </c>
      <c r="AA27">
        <v>0</v>
      </c>
      <c r="AB27" t="s">
        <v>111</v>
      </c>
      <c r="AC27" t="s">
        <v>197</v>
      </c>
      <c r="AD27">
        <v>2022</v>
      </c>
      <c r="AE27" t="s">
        <v>119</v>
      </c>
      <c r="AF27" t="b">
        <v>1</v>
      </c>
      <c r="AG27">
        <v>3101000</v>
      </c>
      <c r="AH27">
        <v>1923159.04</v>
      </c>
      <c r="AI27">
        <v>0.90080000000000005</v>
      </c>
      <c r="AJ27">
        <v>0.82410000000000005</v>
      </c>
      <c r="AK27">
        <v>55</v>
      </c>
      <c r="AL27" t="s">
        <v>132</v>
      </c>
      <c r="AM27">
        <v>1010000</v>
      </c>
      <c r="AN27">
        <v>0.68710000000000004</v>
      </c>
      <c r="AO27">
        <v>825</v>
      </c>
      <c r="AP27">
        <v>811</v>
      </c>
      <c r="AQ27" t="s">
        <v>100</v>
      </c>
      <c r="AR27" t="s">
        <v>121</v>
      </c>
      <c r="AS27">
        <v>1</v>
      </c>
      <c r="AT27">
        <v>1.46E-2</v>
      </c>
      <c r="AU27">
        <v>0.58879999999999999</v>
      </c>
      <c r="AV27">
        <v>1721697.95</v>
      </c>
      <c r="AW27">
        <v>14800.54</v>
      </c>
      <c r="AX27" t="b">
        <v>0</v>
      </c>
      <c r="AY27" t="b">
        <v>0</v>
      </c>
      <c r="AZ27" t="s">
        <v>80</v>
      </c>
      <c r="BA27">
        <v>0</v>
      </c>
      <c r="BB27">
        <v>0</v>
      </c>
      <c r="BC27">
        <v>0</v>
      </c>
      <c r="BD27">
        <v>0</v>
      </c>
      <c r="BE27" t="s">
        <v>108</v>
      </c>
      <c r="BF27" t="b">
        <v>1</v>
      </c>
    </row>
    <row r="28" spans="1:58" x14ac:dyDescent="0.3">
      <c r="A28" t="s">
        <v>198</v>
      </c>
      <c r="B28" t="s">
        <v>67</v>
      </c>
      <c r="C28" t="s">
        <v>199</v>
      </c>
      <c r="D28" t="s">
        <v>69</v>
      </c>
      <c r="E28" t="s">
        <v>70</v>
      </c>
      <c r="F28" t="s">
        <v>124</v>
      </c>
      <c r="G28" s="1">
        <v>44358</v>
      </c>
      <c r="H28" s="1">
        <v>45596</v>
      </c>
      <c r="I28" s="1">
        <v>45798</v>
      </c>
      <c r="J28">
        <v>1042900</v>
      </c>
      <c r="K28">
        <v>48</v>
      </c>
      <c r="L28">
        <v>8</v>
      </c>
      <c r="M28">
        <v>40</v>
      </c>
      <c r="N28">
        <v>10.73</v>
      </c>
      <c r="O28">
        <v>26817.75</v>
      </c>
      <c r="P28" t="s">
        <v>72</v>
      </c>
      <c r="Q28">
        <v>163056.82</v>
      </c>
      <c r="R28">
        <v>26817.75</v>
      </c>
      <c r="S28">
        <v>26268.6</v>
      </c>
      <c r="T28" s="1">
        <v>45571</v>
      </c>
      <c r="U28" t="s">
        <v>73</v>
      </c>
      <c r="V28">
        <v>0</v>
      </c>
      <c r="W28">
        <v>40</v>
      </c>
      <c r="X28">
        <v>40</v>
      </c>
      <c r="Y28">
        <v>0</v>
      </c>
      <c r="Z28">
        <v>0</v>
      </c>
      <c r="AA28">
        <v>0</v>
      </c>
      <c r="AB28" t="s">
        <v>104</v>
      </c>
      <c r="AC28" t="s">
        <v>156</v>
      </c>
      <c r="AD28">
        <v>2021</v>
      </c>
      <c r="AE28" t="s">
        <v>76</v>
      </c>
      <c r="AF28" t="b">
        <v>1</v>
      </c>
      <c r="AG28">
        <v>1297000</v>
      </c>
      <c r="AH28">
        <v>644020.11</v>
      </c>
      <c r="AI28">
        <v>0.80410000000000004</v>
      </c>
      <c r="AJ28">
        <v>0.24179999999999999</v>
      </c>
      <c r="AK28">
        <v>25</v>
      </c>
      <c r="AL28" t="s">
        <v>120</v>
      </c>
      <c r="AM28">
        <v>4536000</v>
      </c>
      <c r="AN28">
        <v>7.0900000000000005E-2</v>
      </c>
      <c r="AO28">
        <v>823</v>
      </c>
      <c r="AP28">
        <v>842</v>
      </c>
      <c r="AQ28" t="s">
        <v>100</v>
      </c>
      <c r="AR28" t="s">
        <v>121</v>
      </c>
      <c r="AS28">
        <v>1</v>
      </c>
      <c r="AT28">
        <v>2.4199999999999999E-2</v>
      </c>
      <c r="AU28">
        <v>0.38200000000000001</v>
      </c>
      <c r="AV28">
        <v>166166.01999999999</v>
      </c>
      <c r="AW28">
        <v>1536.11</v>
      </c>
      <c r="AX28" t="b">
        <v>0</v>
      </c>
      <c r="AY28" t="b">
        <v>0</v>
      </c>
      <c r="AZ28" t="s">
        <v>80</v>
      </c>
      <c r="BA28">
        <v>0</v>
      </c>
      <c r="BB28">
        <v>0</v>
      </c>
      <c r="BC28">
        <v>0</v>
      </c>
      <c r="BD28">
        <v>0</v>
      </c>
      <c r="BE28" t="s">
        <v>108</v>
      </c>
      <c r="BF28" t="b">
        <v>1</v>
      </c>
    </row>
    <row r="29" spans="1:58" x14ac:dyDescent="0.3">
      <c r="A29" t="s">
        <v>200</v>
      </c>
      <c r="B29" t="s">
        <v>67</v>
      </c>
      <c r="C29" t="s">
        <v>201</v>
      </c>
      <c r="D29" t="s">
        <v>84</v>
      </c>
      <c r="E29" t="s">
        <v>85</v>
      </c>
      <c r="F29" t="s">
        <v>86</v>
      </c>
      <c r="G29" s="1">
        <v>45356</v>
      </c>
      <c r="H29" s="1">
        <v>45596</v>
      </c>
      <c r="I29" s="1">
        <v>47156</v>
      </c>
      <c r="J29">
        <v>1970200</v>
      </c>
      <c r="K29">
        <v>60</v>
      </c>
      <c r="L29">
        <v>53</v>
      </c>
      <c r="M29">
        <v>7</v>
      </c>
      <c r="N29">
        <v>9.0299999999999994</v>
      </c>
      <c r="O29">
        <v>40926.800000000003</v>
      </c>
      <c r="P29" t="s">
        <v>72</v>
      </c>
      <c r="Q29">
        <v>1615943.24</v>
      </c>
      <c r="R29">
        <v>40926.800000000003</v>
      </c>
      <c r="S29">
        <v>40852.51</v>
      </c>
      <c r="T29" s="1">
        <v>45578</v>
      </c>
      <c r="U29" t="s">
        <v>73</v>
      </c>
      <c r="V29">
        <v>0</v>
      </c>
      <c r="W29">
        <v>7</v>
      </c>
      <c r="X29">
        <v>7</v>
      </c>
      <c r="Y29">
        <v>0</v>
      </c>
      <c r="Z29">
        <v>0</v>
      </c>
      <c r="AA29">
        <v>0</v>
      </c>
      <c r="AB29" t="s">
        <v>117</v>
      </c>
      <c r="AC29" t="s">
        <v>202</v>
      </c>
      <c r="AD29">
        <v>2024</v>
      </c>
      <c r="AE29" t="s">
        <v>119</v>
      </c>
      <c r="AF29" t="b">
        <v>1</v>
      </c>
      <c r="AG29">
        <v>2895000</v>
      </c>
      <c r="AH29">
        <v>2782586.2</v>
      </c>
      <c r="AI29">
        <v>0.68049999999999999</v>
      </c>
      <c r="AJ29">
        <v>0.60940000000000005</v>
      </c>
      <c r="AK29">
        <v>30</v>
      </c>
      <c r="AL29" t="s">
        <v>132</v>
      </c>
      <c r="AM29">
        <v>2080000</v>
      </c>
      <c r="AN29">
        <v>0.2361</v>
      </c>
      <c r="AO29">
        <v>729</v>
      </c>
      <c r="AP29">
        <v>735</v>
      </c>
      <c r="AQ29" t="s">
        <v>145</v>
      </c>
      <c r="AR29" t="s">
        <v>203</v>
      </c>
      <c r="AS29">
        <v>1</v>
      </c>
      <c r="AT29">
        <v>2.0400000000000001E-2</v>
      </c>
      <c r="AU29">
        <v>0.624</v>
      </c>
      <c r="AV29">
        <v>1683043.07</v>
      </c>
      <c r="AW29">
        <v>21424.47</v>
      </c>
      <c r="AX29" t="b">
        <v>0</v>
      </c>
      <c r="AY29" t="b">
        <v>0</v>
      </c>
      <c r="AZ29" t="s">
        <v>80</v>
      </c>
      <c r="BA29">
        <v>0</v>
      </c>
      <c r="BB29">
        <v>0</v>
      </c>
      <c r="BC29">
        <v>0</v>
      </c>
      <c r="BD29">
        <v>0</v>
      </c>
      <c r="BE29" t="s">
        <v>108</v>
      </c>
      <c r="BF29" t="b">
        <v>0</v>
      </c>
    </row>
    <row r="30" spans="1:58" x14ac:dyDescent="0.3">
      <c r="A30" t="s">
        <v>204</v>
      </c>
      <c r="B30" t="s">
        <v>67</v>
      </c>
      <c r="C30" t="s">
        <v>205</v>
      </c>
      <c r="D30" t="s">
        <v>95</v>
      </c>
      <c r="E30" t="s">
        <v>96</v>
      </c>
      <c r="F30" t="s">
        <v>115</v>
      </c>
      <c r="G30" s="1">
        <v>44890</v>
      </c>
      <c r="H30" s="1">
        <v>45596</v>
      </c>
      <c r="I30" s="1">
        <v>47050</v>
      </c>
      <c r="J30">
        <v>1124400</v>
      </c>
      <c r="K30">
        <v>72</v>
      </c>
      <c r="L30">
        <v>49</v>
      </c>
      <c r="M30">
        <v>23</v>
      </c>
      <c r="N30">
        <v>14.27</v>
      </c>
      <c r="O30">
        <v>23331.97</v>
      </c>
      <c r="P30" t="s">
        <v>72</v>
      </c>
      <c r="Q30">
        <v>781047.58</v>
      </c>
      <c r="R30">
        <v>23331.97</v>
      </c>
      <c r="S30">
        <v>24087.59</v>
      </c>
      <c r="T30" s="1">
        <v>45577</v>
      </c>
      <c r="U30" t="s">
        <v>73</v>
      </c>
      <c r="V30">
        <v>0</v>
      </c>
      <c r="W30">
        <v>23</v>
      </c>
      <c r="X30">
        <v>23</v>
      </c>
      <c r="Y30">
        <v>0</v>
      </c>
      <c r="Z30">
        <v>0</v>
      </c>
      <c r="AA30">
        <v>0</v>
      </c>
      <c r="AB30" t="s">
        <v>74</v>
      </c>
      <c r="AC30" t="s">
        <v>188</v>
      </c>
      <c r="AD30">
        <v>2022</v>
      </c>
      <c r="AE30" t="s">
        <v>76</v>
      </c>
      <c r="AF30" t="b">
        <v>1</v>
      </c>
      <c r="AG30">
        <v>1656000</v>
      </c>
      <c r="AH30">
        <v>1234729.95</v>
      </c>
      <c r="AI30">
        <v>0.67900000000000005</v>
      </c>
      <c r="AJ30">
        <v>0.65139999999999998</v>
      </c>
      <c r="AK30">
        <v>28</v>
      </c>
      <c r="AL30" t="s">
        <v>120</v>
      </c>
      <c r="AM30">
        <v>365000</v>
      </c>
      <c r="AN30">
        <v>0.7671</v>
      </c>
      <c r="AO30">
        <v>787</v>
      </c>
      <c r="AP30">
        <v>752</v>
      </c>
      <c r="AQ30" t="s">
        <v>127</v>
      </c>
      <c r="AR30" t="s">
        <v>185</v>
      </c>
      <c r="AS30">
        <v>1</v>
      </c>
      <c r="AT30">
        <v>2.1399999999999999E-2</v>
      </c>
      <c r="AU30">
        <v>0.63300000000000001</v>
      </c>
      <c r="AV30">
        <v>793857.01</v>
      </c>
      <c r="AW30">
        <v>10753.75</v>
      </c>
      <c r="AX30" t="b">
        <v>0</v>
      </c>
      <c r="AY30" t="b">
        <v>0</v>
      </c>
      <c r="AZ30" t="s">
        <v>80</v>
      </c>
      <c r="BA30">
        <v>0</v>
      </c>
      <c r="BB30">
        <v>0</v>
      </c>
      <c r="BC30">
        <v>0</v>
      </c>
      <c r="BD30">
        <v>0</v>
      </c>
      <c r="BE30" t="s">
        <v>108</v>
      </c>
      <c r="BF30" t="b">
        <v>1</v>
      </c>
    </row>
    <row r="31" spans="1:58" x14ac:dyDescent="0.3">
      <c r="A31" t="s">
        <v>206</v>
      </c>
      <c r="B31" t="s">
        <v>67</v>
      </c>
      <c r="C31" t="s">
        <v>207</v>
      </c>
      <c r="D31" t="s">
        <v>69</v>
      </c>
      <c r="E31" t="s">
        <v>70</v>
      </c>
      <c r="F31" t="s">
        <v>86</v>
      </c>
      <c r="G31" s="1">
        <v>44435</v>
      </c>
      <c r="H31" s="1">
        <v>45596</v>
      </c>
      <c r="I31" s="1">
        <v>45875</v>
      </c>
      <c r="J31">
        <v>2235200</v>
      </c>
      <c r="K31">
        <v>48</v>
      </c>
      <c r="L31">
        <v>10</v>
      </c>
      <c r="M31">
        <v>38</v>
      </c>
      <c r="N31">
        <v>13.71</v>
      </c>
      <c r="O31">
        <v>60755.48</v>
      </c>
      <c r="P31" t="s">
        <v>72</v>
      </c>
      <c r="Q31">
        <v>428576.13</v>
      </c>
      <c r="R31">
        <v>60755.48</v>
      </c>
      <c r="S31">
        <v>13409.05</v>
      </c>
      <c r="T31" s="1">
        <v>45589</v>
      </c>
      <c r="U31" t="s">
        <v>87</v>
      </c>
      <c r="V31">
        <v>20</v>
      </c>
      <c r="W31">
        <v>38</v>
      </c>
      <c r="X31">
        <v>37</v>
      </c>
      <c r="Y31">
        <v>3</v>
      </c>
      <c r="Z31">
        <v>0</v>
      </c>
      <c r="AA31">
        <v>0</v>
      </c>
      <c r="AB31" t="s">
        <v>208</v>
      </c>
      <c r="AC31" t="s">
        <v>209</v>
      </c>
      <c r="AD31">
        <v>2021</v>
      </c>
      <c r="AE31" t="s">
        <v>119</v>
      </c>
      <c r="AF31" t="b">
        <v>1</v>
      </c>
      <c r="AG31">
        <v>3489000</v>
      </c>
      <c r="AH31">
        <v>2068461.93</v>
      </c>
      <c r="AI31">
        <v>0.64059999999999995</v>
      </c>
      <c r="AJ31">
        <v>0.2258</v>
      </c>
      <c r="AK31">
        <v>48</v>
      </c>
      <c r="AL31" t="s">
        <v>120</v>
      </c>
      <c r="AM31">
        <v>3060000</v>
      </c>
      <c r="AN31">
        <v>0.23830000000000001</v>
      </c>
      <c r="AO31">
        <v>836</v>
      </c>
      <c r="AP31">
        <v>805</v>
      </c>
      <c r="AQ31" t="s">
        <v>127</v>
      </c>
      <c r="AR31" t="s">
        <v>128</v>
      </c>
      <c r="AS31">
        <v>1</v>
      </c>
      <c r="AT31">
        <v>1.52E-2</v>
      </c>
      <c r="AU31">
        <v>0.55569999999999997</v>
      </c>
      <c r="AV31">
        <v>440243.38</v>
      </c>
      <c r="AW31">
        <v>3718.58</v>
      </c>
      <c r="AX31" t="b">
        <v>0</v>
      </c>
      <c r="AY31" t="b">
        <v>0</v>
      </c>
      <c r="AZ31" t="s">
        <v>80</v>
      </c>
      <c r="BA31">
        <v>0</v>
      </c>
      <c r="BB31">
        <v>0</v>
      </c>
      <c r="BC31">
        <v>0</v>
      </c>
      <c r="BD31">
        <v>0</v>
      </c>
      <c r="BE31" t="s">
        <v>134</v>
      </c>
      <c r="BF31" t="b">
        <v>1</v>
      </c>
    </row>
    <row r="32" spans="1:58" x14ac:dyDescent="0.3">
      <c r="A32" t="s">
        <v>210</v>
      </c>
      <c r="B32" t="s">
        <v>67</v>
      </c>
      <c r="C32" t="s">
        <v>211</v>
      </c>
      <c r="D32" t="s">
        <v>69</v>
      </c>
      <c r="E32" t="s">
        <v>70</v>
      </c>
      <c r="F32" t="s">
        <v>115</v>
      </c>
      <c r="G32" s="1">
        <v>45128</v>
      </c>
      <c r="H32" s="1">
        <v>45596</v>
      </c>
      <c r="I32" s="1">
        <v>46928</v>
      </c>
      <c r="J32">
        <v>1092100</v>
      </c>
      <c r="K32">
        <v>60</v>
      </c>
      <c r="L32">
        <v>45</v>
      </c>
      <c r="M32">
        <v>15</v>
      </c>
      <c r="N32">
        <v>9.1999999999999993</v>
      </c>
      <c r="O32">
        <v>22776.35</v>
      </c>
      <c r="P32" t="s">
        <v>72</v>
      </c>
      <c r="Q32">
        <v>752638.67</v>
      </c>
      <c r="R32">
        <v>22776.35</v>
      </c>
      <c r="S32">
        <v>21673.48</v>
      </c>
      <c r="T32" s="1">
        <v>45580</v>
      </c>
      <c r="U32" t="s">
        <v>73</v>
      </c>
      <c r="V32">
        <v>0</v>
      </c>
      <c r="W32">
        <v>15</v>
      </c>
      <c r="X32">
        <v>15</v>
      </c>
      <c r="Y32">
        <v>0</v>
      </c>
      <c r="Z32">
        <v>0</v>
      </c>
      <c r="AA32">
        <v>0</v>
      </c>
      <c r="AB32" t="s">
        <v>74</v>
      </c>
      <c r="AC32" t="s">
        <v>212</v>
      </c>
      <c r="AD32">
        <v>2023</v>
      </c>
      <c r="AE32" t="s">
        <v>90</v>
      </c>
      <c r="AF32" t="b">
        <v>1</v>
      </c>
      <c r="AG32">
        <v>1768000</v>
      </c>
      <c r="AH32">
        <v>1319977.2</v>
      </c>
      <c r="AI32">
        <v>0.61770000000000003</v>
      </c>
      <c r="AJ32">
        <v>0.51910000000000001</v>
      </c>
      <c r="AK32">
        <v>36</v>
      </c>
      <c r="AL32" t="s">
        <v>132</v>
      </c>
      <c r="AM32">
        <v>1841000</v>
      </c>
      <c r="AN32">
        <v>0.14849999999999999</v>
      </c>
      <c r="AO32">
        <v>800</v>
      </c>
      <c r="AP32">
        <v>777</v>
      </c>
      <c r="AQ32" t="s">
        <v>100</v>
      </c>
      <c r="AR32" t="s">
        <v>101</v>
      </c>
      <c r="AS32">
        <v>1</v>
      </c>
      <c r="AT32">
        <v>2.1899999999999999E-2</v>
      </c>
      <c r="AU32">
        <v>0.35770000000000002</v>
      </c>
      <c r="AV32">
        <v>753197.89</v>
      </c>
      <c r="AW32">
        <v>5900.27</v>
      </c>
      <c r="AX32" t="b">
        <v>0</v>
      </c>
      <c r="AY32" t="b">
        <v>0</v>
      </c>
      <c r="AZ32" t="s">
        <v>80</v>
      </c>
      <c r="BA32">
        <v>0</v>
      </c>
      <c r="BB32">
        <v>0</v>
      </c>
      <c r="BC32">
        <v>0</v>
      </c>
      <c r="BD32">
        <v>0</v>
      </c>
      <c r="BE32" t="s">
        <v>134</v>
      </c>
      <c r="BF32" t="b">
        <v>1</v>
      </c>
    </row>
    <row r="33" spans="1:58" x14ac:dyDescent="0.3">
      <c r="A33" t="s">
        <v>213</v>
      </c>
      <c r="B33" t="s">
        <v>67</v>
      </c>
      <c r="C33" t="s">
        <v>214</v>
      </c>
      <c r="D33" t="s">
        <v>69</v>
      </c>
      <c r="E33" t="s">
        <v>70</v>
      </c>
      <c r="F33" t="s">
        <v>71</v>
      </c>
      <c r="G33" s="1">
        <v>45059</v>
      </c>
      <c r="H33" s="1">
        <v>45596</v>
      </c>
      <c r="I33" s="1">
        <v>47579</v>
      </c>
      <c r="J33">
        <v>1460700</v>
      </c>
      <c r="K33">
        <v>84</v>
      </c>
      <c r="L33">
        <v>67</v>
      </c>
      <c r="M33">
        <v>17</v>
      </c>
      <c r="N33">
        <v>8.26</v>
      </c>
      <c r="O33">
        <v>22956.46</v>
      </c>
      <c r="P33" t="s">
        <v>72</v>
      </c>
      <c r="Q33">
        <v>1136625.95</v>
      </c>
      <c r="R33">
        <v>22956.46</v>
      </c>
      <c r="S33">
        <v>23026.61</v>
      </c>
      <c r="T33" s="1">
        <v>45567</v>
      </c>
      <c r="U33" t="s">
        <v>73</v>
      </c>
      <c r="V33">
        <v>0</v>
      </c>
      <c r="W33">
        <v>17</v>
      </c>
      <c r="X33">
        <v>17</v>
      </c>
      <c r="Y33">
        <v>0</v>
      </c>
      <c r="Z33">
        <v>0</v>
      </c>
      <c r="AA33">
        <v>0</v>
      </c>
      <c r="AB33" t="s">
        <v>97</v>
      </c>
      <c r="AC33" t="s">
        <v>98</v>
      </c>
      <c r="AD33">
        <v>2023</v>
      </c>
      <c r="AE33" t="s">
        <v>166</v>
      </c>
      <c r="AF33" t="b">
        <v>1</v>
      </c>
      <c r="AG33">
        <v>2010000</v>
      </c>
      <c r="AH33">
        <v>1601736.3</v>
      </c>
      <c r="AI33">
        <v>0.72670000000000001</v>
      </c>
      <c r="AJ33">
        <v>0.71040000000000003</v>
      </c>
      <c r="AK33">
        <v>25</v>
      </c>
      <c r="AL33" t="s">
        <v>106</v>
      </c>
      <c r="AM33">
        <v>4842000</v>
      </c>
      <c r="AN33">
        <v>5.6899999999999999E-2</v>
      </c>
      <c r="AO33">
        <v>665</v>
      </c>
      <c r="AP33">
        <v>676</v>
      </c>
      <c r="AQ33" t="s">
        <v>127</v>
      </c>
      <c r="AR33" t="s">
        <v>215</v>
      </c>
      <c r="AS33">
        <v>1</v>
      </c>
      <c r="AT33">
        <v>1.7299999999999999E-2</v>
      </c>
      <c r="AU33">
        <v>0.53990000000000005</v>
      </c>
      <c r="AV33">
        <v>1167789.76</v>
      </c>
      <c r="AW33">
        <v>10907.47</v>
      </c>
      <c r="AX33" t="b">
        <v>0</v>
      </c>
      <c r="AY33" t="b">
        <v>0</v>
      </c>
      <c r="AZ33" t="s">
        <v>80</v>
      </c>
      <c r="BA33">
        <v>0</v>
      </c>
      <c r="BB33">
        <v>0</v>
      </c>
      <c r="BC33">
        <v>0</v>
      </c>
      <c r="BD33">
        <v>0</v>
      </c>
      <c r="BE33" t="s">
        <v>108</v>
      </c>
      <c r="BF33" t="b">
        <v>0</v>
      </c>
    </row>
    <row r="34" spans="1:58" x14ac:dyDescent="0.3">
      <c r="A34" t="s">
        <v>216</v>
      </c>
      <c r="B34" t="s">
        <v>67</v>
      </c>
      <c r="C34" t="s">
        <v>217</v>
      </c>
      <c r="D34" t="s">
        <v>84</v>
      </c>
      <c r="E34" t="s">
        <v>85</v>
      </c>
      <c r="F34" t="s">
        <v>86</v>
      </c>
      <c r="G34" s="1">
        <v>45078</v>
      </c>
      <c r="H34" s="1">
        <v>45596</v>
      </c>
      <c r="I34" s="1">
        <v>47238</v>
      </c>
      <c r="J34">
        <v>686000</v>
      </c>
      <c r="K34">
        <v>72</v>
      </c>
      <c r="L34">
        <v>56</v>
      </c>
      <c r="M34">
        <v>16</v>
      </c>
      <c r="N34">
        <v>10.41</v>
      </c>
      <c r="O34">
        <v>12851.02</v>
      </c>
      <c r="P34" t="s">
        <v>139</v>
      </c>
      <c r="Q34">
        <v>487810.04</v>
      </c>
      <c r="R34">
        <v>12851.02</v>
      </c>
      <c r="S34">
        <v>12274.58</v>
      </c>
      <c r="T34" s="1">
        <v>45578</v>
      </c>
      <c r="U34" t="s">
        <v>73</v>
      </c>
      <c r="V34">
        <v>0</v>
      </c>
      <c r="W34">
        <v>16</v>
      </c>
      <c r="X34">
        <v>16</v>
      </c>
      <c r="Y34">
        <v>0</v>
      </c>
      <c r="Z34">
        <v>0</v>
      </c>
      <c r="AA34">
        <v>0</v>
      </c>
      <c r="AB34" t="s">
        <v>74</v>
      </c>
      <c r="AC34" t="s">
        <v>212</v>
      </c>
      <c r="AD34">
        <v>2018</v>
      </c>
      <c r="AE34" t="s">
        <v>76</v>
      </c>
      <c r="AF34" t="b">
        <v>0</v>
      </c>
      <c r="AG34">
        <v>921000</v>
      </c>
      <c r="AH34">
        <v>759112.4</v>
      </c>
      <c r="AI34">
        <v>0.74480000000000002</v>
      </c>
      <c r="AJ34">
        <v>0.65549999999999997</v>
      </c>
      <c r="AK34">
        <v>43</v>
      </c>
      <c r="AL34" t="s">
        <v>106</v>
      </c>
      <c r="AM34">
        <v>1272000</v>
      </c>
      <c r="AN34">
        <v>0.1212</v>
      </c>
      <c r="AO34">
        <v>771</v>
      </c>
      <c r="AP34">
        <v>729</v>
      </c>
      <c r="AQ34" t="s">
        <v>145</v>
      </c>
      <c r="AR34" t="s">
        <v>146</v>
      </c>
      <c r="AS34">
        <v>1</v>
      </c>
      <c r="AT34">
        <v>2.1999999999999999E-2</v>
      </c>
      <c r="AU34">
        <v>0.47320000000000001</v>
      </c>
      <c r="AV34">
        <v>509117.76</v>
      </c>
      <c r="AW34">
        <v>5300.12</v>
      </c>
      <c r="AX34" t="b">
        <v>0</v>
      </c>
      <c r="AY34" t="b">
        <v>0</v>
      </c>
      <c r="AZ34" t="s">
        <v>80</v>
      </c>
      <c r="BA34">
        <v>0</v>
      </c>
      <c r="BB34">
        <v>0</v>
      </c>
      <c r="BC34">
        <v>0</v>
      </c>
      <c r="BD34">
        <v>0</v>
      </c>
      <c r="BE34" t="s">
        <v>108</v>
      </c>
      <c r="BF34" t="b">
        <v>1</v>
      </c>
    </row>
    <row r="35" spans="1:58" x14ac:dyDescent="0.3">
      <c r="A35" t="s">
        <v>218</v>
      </c>
      <c r="B35" t="s">
        <v>67</v>
      </c>
      <c r="C35" t="s">
        <v>219</v>
      </c>
      <c r="D35" t="s">
        <v>95</v>
      </c>
      <c r="E35" t="s">
        <v>96</v>
      </c>
      <c r="F35" t="s">
        <v>86</v>
      </c>
      <c r="G35" s="1">
        <v>44917</v>
      </c>
      <c r="H35" s="1">
        <v>45596</v>
      </c>
      <c r="I35" s="1">
        <v>45997</v>
      </c>
      <c r="J35">
        <v>1030600</v>
      </c>
      <c r="K35">
        <v>36</v>
      </c>
      <c r="L35">
        <v>14</v>
      </c>
      <c r="M35">
        <v>22</v>
      </c>
      <c r="N35">
        <v>9.9499999999999993</v>
      </c>
      <c r="O35">
        <v>33230.379999999997</v>
      </c>
      <c r="P35" t="s">
        <v>72</v>
      </c>
      <c r="Q35">
        <v>394151.75</v>
      </c>
      <c r="R35">
        <v>33230.379999999997</v>
      </c>
      <c r="S35">
        <v>33672.92</v>
      </c>
      <c r="T35" s="1">
        <v>45595</v>
      </c>
      <c r="U35" t="s">
        <v>73</v>
      </c>
      <c r="V35">
        <v>0</v>
      </c>
      <c r="W35">
        <v>22</v>
      </c>
      <c r="X35">
        <v>22</v>
      </c>
      <c r="Y35">
        <v>0</v>
      </c>
      <c r="Z35">
        <v>0</v>
      </c>
      <c r="AA35">
        <v>0</v>
      </c>
      <c r="AB35" t="s">
        <v>74</v>
      </c>
      <c r="AC35" t="s">
        <v>220</v>
      </c>
      <c r="AD35">
        <v>2022</v>
      </c>
      <c r="AE35" t="s">
        <v>76</v>
      </c>
      <c r="AF35" t="b">
        <v>1</v>
      </c>
      <c r="AG35">
        <v>1519000</v>
      </c>
      <c r="AH35">
        <v>1026702.32</v>
      </c>
      <c r="AI35">
        <v>0.67849999999999999</v>
      </c>
      <c r="AJ35">
        <v>0.35260000000000002</v>
      </c>
      <c r="AK35">
        <v>40</v>
      </c>
      <c r="AL35" t="s">
        <v>77</v>
      </c>
      <c r="AM35">
        <v>4094000</v>
      </c>
      <c r="AN35">
        <v>9.74E-2</v>
      </c>
      <c r="AO35">
        <v>793</v>
      </c>
      <c r="AP35">
        <v>822</v>
      </c>
      <c r="AQ35" t="s">
        <v>78</v>
      </c>
      <c r="AR35" t="s">
        <v>79</v>
      </c>
      <c r="AS35">
        <v>1</v>
      </c>
      <c r="AT35">
        <v>1.8200000000000001E-2</v>
      </c>
      <c r="AU35">
        <v>0.40439999999999998</v>
      </c>
      <c r="AV35">
        <v>396974.89</v>
      </c>
      <c r="AW35">
        <v>2921.77</v>
      </c>
      <c r="AX35" t="b">
        <v>0</v>
      </c>
      <c r="AY35" t="b">
        <v>0</v>
      </c>
      <c r="AZ35" t="s">
        <v>80</v>
      </c>
      <c r="BA35">
        <v>0</v>
      </c>
      <c r="BB35">
        <v>0</v>
      </c>
      <c r="BC35">
        <v>0</v>
      </c>
      <c r="BD35">
        <v>0</v>
      </c>
      <c r="BE35" t="s">
        <v>108</v>
      </c>
      <c r="BF35" t="b">
        <v>1</v>
      </c>
    </row>
    <row r="36" spans="1:58" x14ac:dyDescent="0.3">
      <c r="A36" t="s">
        <v>221</v>
      </c>
      <c r="B36" t="s">
        <v>67</v>
      </c>
      <c r="C36" t="s">
        <v>222</v>
      </c>
      <c r="D36" t="s">
        <v>69</v>
      </c>
      <c r="E36" t="s">
        <v>70</v>
      </c>
      <c r="F36" t="s">
        <v>86</v>
      </c>
      <c r="G36" s="1">
        <v>45283</v>
      </c>
      <c r="H36" s="1">
        <v>45596</v>
      </c>
      <c r="I36" s="1">
        <v>47083</v>
      </c>
      <c r="J36">
        <v>868600</v>
      </c>
      <c r="K36">
        <v>60</v>
      </c>
      <c r="L36">
        <v>50</v>
      </c>
      <c r="M36">
        <v>10</v>
      </c>
      <c r="N36">
        <v>12.94</v>
      </c>
      <c r="O36">
        <v>19736.650000000001</v>
      </c>
      <c r="P36" t="s">
        <v>72</v>
      </c>
      <c r="Q36">
        <v>713076.47</v>
      </c>
      <c r="R36">
        <v>19736.650000000001</v>
      </c>
      <c r="S36">
        <v>19185.05</v>
      </c>
      <c r="T36" s="1">
        <v>45593</v>
      </c>
      <c r="U36" t="s">
        <v>73</v>
      </c>
      <c r="V36">
        <v>0</v>
      </c>
      <c r="W36">
        <v>10</v>
      </c>
      <c r="X36">
        <v>10</v>
      </c>
      <c r="Y36">
        <v>0</v>
      </c>
      <c r="Z36">
        <v>0</v>
      </c>
      <c r="AA36">
        <v>0</v>
      </c>
      <c r="AB36" t="s">
        <v>125</v>
      </c>
      <c r="AC36" t="s">
        <v>144</v>
      </c>
      <c r="AD36">
        <v>2023</v>
      </c>
      <c r="AE36" t="s">
        <v>119</v>
      </c>
      <c r="AF36" t="b">
        <v>1</v>
      </c>
      <c r="AG36">
        <v>1225000</v>
      </c>
      <c r="AH36">
        <v>971857.34</v>
      </c>
      <c r="AI36">
        <v>0.70909999999999995</v>
      </c>
      <c r="AJ36">
        <v>0.66149999999999998</v>
      </c>
      <c r="AK36">
        <v>25</v>
      </c>
      <c r="AL36" t="s">
        <v>77</v>
      </c>
      <c r="AM36">
        <v>1040000</v>
      </c>
      <c r="AN36">
        <v>0.22770000000000001</v>
      </c>
      <c r="AO36">
        <v>808</v>
      </c>
      <c r="AP36">
        <v>764</v>
      </c>
      <c r="AQ36" t="s">
        <v>145</v>
      </c>
      <c r="AR36" t="s">
        <v>157</v>
      </c>
      <c r="AS36">
        <v>1</v>
      </c>
      <c r="AT36">
        <v>1.9199999999999998E-2</v>
      </c>
      <c r="AU36">
        <v>0.435</v>
      </c>
      <c r="AV36">
        <v>737267.1</v>
      </c>
      <c r="AW36">
        <v>6157.65</v>
      </c>
      <c r="AX36" t="b">
        <v>0</v>
      </c>
      <c r="AY36" t="b">
        <v>0</v>
      </c>
      <c r="AZ36" t="s">
        <v>80</v>
      </c>
      <c r="BA36">
        <v>0</v>
      </c>
      <c r="BB36">
        <v>0</v>
      </c>
      <c r="BC36">
        <v>0</v>
      </c>
      <c r="BD36">
        <v>0</v>
      </c>
      <c r="BE36" t="s">
        <v>81</v>
      </c>
      <c r="BF36" t="b">
        <v>1</v>
      </c>
    </row>
    <row r="37" spans="1:58" x14ac:dyDescent="0.3">
      <c r="A37" t="s">
        <v>223</v>
      </c>
      <c r="B37" t="s">
        <v>67</v>
      </c>
      <c r="C37" t="s">
        <v>224</v>
      </c>
      <c r="D37" t="s">
        <v>69</v>
      </c>
      <c r="E37" t="s">
        <v>70</v>
      </c>
      <c r="F37" t="s">
        <v>124</v>
      </c>
      <c r="G37" s="1">
        <v>44814</v>
      </c>
      <c r="H37" s="1">
        <v>45596</v>
      </c>
      <c r="I37" s="1">
        <v>46974</v>
      </c>
      <c r="J37">
        <v>1016200</v>
      </c>
      <c r="K37">
        <v>72</v>
      </c>
      <c r="L37">
        <v>47</v>
      </c>
      <c r="M37">
        <v>25</v>
      </c>
      <c r="N37">
        <v>8.73</v>
      </c>
      <c r="O37">
        <v>18181.669999999998</v>
      </c>
      <c r="P37" t="s">
        <v>72</v>
      </c>
      <c r="Q37">
        <v>634849.25</v>
      </c>
      <c r="R37">
        <v>18181.669999999998</v>
      </c>
      <c r="S37">
        <v>5824.68</v>
      </c>
      <c r="T37" s="1">
        <v>45591</v>
      </c>
      <c r="U37" t="s">
        <v>131</v>
      </c>
      <c r="V37">
        <v>78</v>
      </c>
      <c r="W37">
        <v>25</v>
      </c>
      <c r="X37">
        <v>20</v>
      </c>
      <c r="Y37">
        <v>2</v>
      </c>
      <c r="Z37">
        <v>0</v>
      </c>
      <c r="AA37">
        <v>1</v>
      </c>
      <c r="AB37" t="s">
        <v>125</v>
      </c>
      <c r="AC37" t="s">
        <v>191</v>
      </c>
      <c r="AD37">
        <v>2022</v>
      </c>
      <c r="AE37" t="s">
        <v>119</v>
      </c>
      <c r="AF37" t="b">
        <v>1</v>
      </c>
      <c r="AG37">
        <v>1686000</v>
      </c>
      <c r="AH37">
        <v>1155596.77</v>
      </c>
      <c r="AI37">
        <v>0.60270000000000001</v>
      </c>
      <c r="AJ37">
        <v>0.53790000000000004</v>
      </c>
      <c r="AK37">
        <v>38</v>
      </c>
      <c r="AL37" t="s">
        <v>106</v>
      </c>
      <c r="AM37">
        <v>4392000</v>
      </c>
      <c r="AN37">
        <v>4.9700000000000001E-2</v>
      </c>
      <c r="AO37">
        <v>660</v>
      </c>
      <c r="AP37">
        <v>665</v>
      </c>
      <c r="AQ37" t="s">
        <v>145</v>
      </c>
      <c r="AR37" t="s">
        <v>182</v>
      </c>
      <c r="AS37">
        <v>2</v>
      </c>
      <c r="AT37">
        <v>0.1439</v>
      </c>
      <c r="AU37">
        <v>0.62590000000000001</v>
      </c>
      <c r="AV37">
        <v>637646.71</v>
      </c>
      <c r="AW37">
        <v>57430.93</v>
      </c>
      <c r="AX37" t="b">
        <v>0</v>
      </c>
      <c r="AY37" t="b">
        <v>1</v>
      </c>
      <c r="AZ37" t="s">
        <v>225</v>
      </c>
      <c r="BA37">
        <v>0</v>
      </c>
      <c r="BB37">
        <v>0</v>
      </c>
      <c r="BC37">
        <v>0</v>
      </c>
      <c r="BD37">
        <v>0</v>
      </c>
      <c r="BE37" t="s">
        <v>108</v>
      </c>
      <c r="BF37" t="b">
        <v>1</v>
      </c>
    </row>
    <row r="38" spans="1:58" x14ac:dyDescent="0.3">
      <c r="A38" t="s">
        <v>226</v>
      </c>
      <c r="B38" t="s">
        <v>67</v>
      </c>
      <c r="C38" t="s">
        <v>227</v>
      </c>
      <c r="D38" t="s">
        <v>84</v>
      </c>
      <c r="E38" t="s">
        <v>85</v>
      </c>
      <c r="F38" t="s">
        <v>124</v>
      </c>
      <c r="G38" s="1">
        <v>44832</v>
      </c>
      <c r="H38" s="1">
        <v>45596</v>
      </c>
      <c r="I38" s="1">
        <v>47352</v>
      </c>
      <c r="J38">
        <v>580900</v>
      </c>
      <c r="K38">
        <v>84</v>
      </c>
      <c r="L38">
        <v>59</v>
      </c>
      <c r="M38">
        <v>25</v>
      </c>
      <c r="N38">
        <v>11.07</v>
      </c>
      <c r="O38">
        <v>9967.82</v>
      </c>
      <c r="P38" t="s">
        <v>72</v>
      </c>
      <c r="Q38">
        <v>422656.04</v>
      </c>
      <c r="R38">
        <v>9967.82</v>
      </c>
      <c r="S38">
        <v>9784.5499999999993</v>
      </c>
      <c r="T38" s="1">
        <v>45568</v>
      </c>
      <c r="U38" t="s">
        <v>73</v>
      </c>
      <c r="V38">
        <v>0</v>
      </c>
      <c r="W38">
        <v>25</v>
      </c>
      <c r="X38">
        <v>25</v>
      </c>
      <c r="Y38">
        <v>0</v>
      </c>
      <c r="Z38">
        <v>0</v>
      </c>
      <c r="AA38">
        <v>0</v>
      </c>
      <c r="AB38" t="s">
        <v>111</v>
      </c>
      <c r="AC38" t="s">
        <v>228</v>
      </c>
      <c r="AD38">
        <v>2022</v>
      </c>
      <c r="AE38" t="s">
        <v>76</v>
      </c>
      <c r="AF38" t="b">
        <v>1</v>
      </c>
      <c r="AG38">
        <v>707000</v>
      </c>
      <c r="AH38">
        <v>452168.97</v>
      </c>
      <c r="AI38">
        <v>0.8216</v>
      </c>
      <c r="AJ38">
        <v>0.85399999999999998</v>
      </c>
      <c r="AK38">
        <v>46</v>
      </c>
      <c r="AL38" t="s">
        <v>77</v>
      </c>
      <c r="AM38">
        <v>1410000</v>
      </c>
      <c r="AN38">
        <v>8.48E-2</v>
      </c>
      <c r="AO38">
        <v>687</v>
      </c>
      <c r="AP38">
        <v>669</v>
      </c>
      <c r="AQ38" t="s">
        <v>100</v>
      </c>
      <c r="AR38" t="s">
        <v>229</v>
      </c>
      <c r="AS38">
        <v>1</v>
      </c>
      <c r="AT38">
        <v>2.2200000000000001E-2</v>
      </c>
      <c r="AU38">
        <v>0.61460000000000004</v>
      </c>
      <c r="AV38">
        <v>436244.26</v>
      </c>
      <c r="AW38">
        <v>5952.17</v>
      </c>
      <c r="AX38" t="b">
        <v>0</v>
      </c>
      <c r="AY38" t="b">
        <v>0</v>
      </c>
      <c r="AZ38" t="s">
        <v>80</v>
      </c>
      <c r="BA38">
        <v>0</v>
      </c>
      <c r="BB38">
        <v>0</v>
      </c>
      <c r="BC38">
        <v>0</v>
      </c>
      <c r="BD38">
        <v>0</v>
      </c>
      <c r="BE38" t="s">
        <v>108</v>
      </c>
      <c r="BF38" t="b">
        <v>1</v>
      </c>
    </row>
    <row r="39" spans="1:58" x14ac:dyDescent="0.3">
      <c r="A39" t="s">
        <v>230</v>
      </c>
      <c r="B39" t="s">
        <v>67</v>
      </c>
      <c r="C39" t="s">
        <v>231</v>
      </c>
      <c r="D39" t="s">
        <v>69</v>
      </c>
      <c r="E39" t="s">
        <v>70</v>
      </c>
      <c r="F39" t="s">
        <v>124</v>
      </c>
      <c r="G39" s="1">
        <v>45102</v>
      </c>
      <c r="H39" s="1">
        <v>45596</v>
      </c>
      <c r="I39" s="1">
        <v>47262</v>
      </c>
      <c r="J39">
        <v>1537800</v>
      </c>
      <c r="K39">
        <v>72</v>
      </c>
      <c r="L39">
        <v>56</v>
      </c>
      <c r="M39">
        <v>16</v>
      </c>
      <c r="N39">
        <v>7.76</v>
      </c>
      <c r="O39">
        <v>26782.77</v>
      </c>
      <c r="P39" t="s">
        <v>72</v>
      </c>
      <c r="Q39">
        <v>1142615.21</v>
      </c>
      <c r="R39">
        <v>26782.77</v>
      </c>
      <c r="S39">
        <v>25548.46</v>
      </c>
      <c r="T39" s="1">
        <v>45568</v>
      </c>
      <c r="U39" t="s">
        <v>73</v>
      </c>
      <c r="V39">
        <v>0</v>
      </c>
      <c r="W39">
        <v>16</v>
      </c>
      <c r="X39">
        <v>16</v>
      </c>
      <c r="Y39">
        <v>0</v>
      </c>
      <c r="Z39">
        <v>0</v>
      </c>
      <c r="AA39">
        <v>0</v>
      </c>
      <c r="AB39" t="s">
        <v>88</v>
      </c>
      <c r="AC39" t="s">
        <v>171</v>
      </c>
      <c r="AD39">
        <v>2023</v>
      </c>
      <c r="AE39" t="s">
        <v>119</v>
      </c>
      <c r="AF39" t="b">
        <v>1</v>
      </c>
      <c r="AG39">
        <v>2170000</v>
      </c>
      <c r="AH39">
        <v>1925535.05</v>
      </c>
      <c r="AI39">
        <v>0.70860000000000001</v>
      </c>
      <c r="AJ39">
        <v>0.65169999999999995</v>
      </c>
      <c r="AK39">
        <v>27</v>
      </c>
      <c r="AL39" t="s">
        <v>132</v>
      </c>
      <c r="AM39">
        <v>1718000</v>
      </c>
      <c r="AN39">
        <v>0.18709999999999999</v>
      </c>
      <c r="AO39">
        <v>768</v>
      </c>
      <c r="AP39">
        <v>792</v>
      </c>
      <c r="AQ39" t="s">
        <v>78</v>
      </c>
      <c r="AR39" t="s">
        <v>79</v>
      </c>
      <c r="AS39">
        <v>1</v>
      </c>
      <c r="AT39">
        <v>1.52E-2</v>
      </c>
      <c r="AU39">
        <v>0.61970000000000003</v>
      </c>
      <c r="AV39">
        <v>1162236.07</v>
      </c>
      <c r="AW39">
        <v>10947.61</v>
      </c>
      <c r="AX39" t="b">
        <v>0</v>
      </c>
      <c r="AY39" t="b">
        <v>0</v>
      </c>
      <c r="AZ39" t="s">
        <v>80</v>
      </c>
      <c r="BA39">
        <v>0</v>
      </c>
      <c r="BB39">
        <v>0</v>
      </c>
      <c r="BC39">
        <v>0</v>
      </c>
      <c r="BD39">
        <v>0</v>
      </c>
      <c r="BE39" t="s">
        <v>81</v>
      </c>
      <c r="BF39" t="b">
        <v>1</v>
      </c>
    </row>
    <row r="40" spans="1:58" x14ac:dyDescent="0.3">
      <c r="A40" t="s">
        <v>232</v>
      </c>
      <c r="B40" t="s">
        <v>67</v>
      </c>
      <c r="C40" t="s">
        <v>233</v>
      </c>
      <c r="D40" t="s">
        <v>95</v>
      </c>
      <c r="E40" t="s">
        <v>96</v>
      </c>
      <c r="F40" t="s">
        <v>71</v>
      </c>
      <c r="G40" s="1">
        <v>45270</v>
      </c>
      <c r="H40" s="1">
        <v>45596</v>
      </c>
      <c r="I40" s="1">
        <v>47790</v>
      </c>
      <c r="J40">
        <v>1608000</v>
      </c>
      <c r="K40">
        <v>84</v>
      </c>
      <c r="L40">
        <v>74</v>
      </c>
      <c r="M40">
        <v>10</v>
      </c>
      <c r="N40">
        <v>7.87</v>
      </c>
      <c r="O40">
        <v>24958.61</v>
      </c>
      <c r="P40" t="s">
        <v>72</v>
      </c>
      <c r="Q40">
        <v>1408968.67</v>
      </c>
      <c r="R40">
        <v>24958.61</v>
      </c>
      <c r="S40">
        <v>25740.28</v>
      </c>
      <c r="T40" s="1">
        <v>45563</v>
      </c>
      <c r="U40" t="s">
        <v>73</v>
      </c>
      <c r="V40">
        <v>0</v>
      </c>
      <c r="W40">
        <v>10</v>
      </c>
      <c r="X40">
        <v>10</v>
      </c>
      <c r="Y40">
        <v>0</v>
      </c>
      <c r="Z40">
        <v>0</v>
      </c>
      <c r="AA40">
        <v>0</v>
      </c>
      <c r="AB40" t="s">
        <v>97</v>
      </c>
      <c r="AC40" t="s">
        <v>98</v>
      </c>
      <c r="AD40">
        <v>2023</v>
      </c>
      <c r="AE40" t="s">
        <v>119</v>
      </c>
      <c r="AF40" t="b">
        <v>1</v>
      </c>
      <c r="AG40">
        <v>1846000</v>
      </c>
      <c r="AH40">
        <v>1492394.49</v>
      </c>
      <c r="AI40">
        <v>0.87109999999999999</v>
      </c>
      <c r="AJ40">
        <v>0.86729999999999996</v>
      </c>
      <c r="AK40">
        <v>26</v>
      </c>
      <c r="AL40" t="s">
        <v>106</v>
      </c>
      <c r="AM40">
        <v>3585000</v>
      </c>
      <c r="AN40">
        <v>8.3500000000000005E-2</v>
      </c>
      <c r="AO40">
        <v>722</v>
      </c>
      <c r="AP40">
        <v>704</v>
      </c>
      <c r="AQ40" t="s">
        <v>78</v>
      </c>
      <c r="AR40" t="s">
        <v>79</v>
      </c>
      <c r="AS40">
        <v>1</v>
      </c>
      <c r="AT40">
        <v>2.1100000000000001E-2</v>
      </c>
      <c r="AU40">
        <v>0.63139999999999996</v>
      </c>
      <c r="AV40">
        <v>1430778.23</v>
      </c>
      <c r="AW40">
        <v>19061.599999999999</v>
      </c>
      <c r="AX40" t="b">
        <v>0</v>
      </c>
      <c r="AY40" t="b">
        <v>0</v>
      </c>
      <c r="AZ40" t="s">
        <v>80</v>
      </c>
      <c r="BA40">
        <v>0</v>
      </c>
      <c r="BB40">
        <v>0</v>
      </c>
      <c r="BC40">
        <v>0</v>
      </c>
      <c r="BD40">
        <v>0</v>
      </c>
      <c r="BE40" t="s">
        <v>108</v>
      </c>
      <c r="BF40" t="b">
        <v>0</v>
      </c>
    </row>
    <row r="41" spans="1:58" x14ac:dyDescent="0.3">
      <c r="A41" t="s">
        <v>234</v>
      </c>
      <c r="B41" t="s">
        <v>67</v>
      </c>
      <c r="C41" t="s">
        <v>235</v>
      </c>
      <c r="D41" t="s">
        <v>95</v>
      </c>
      <c r="E41" t="s">
        <v>96</v>
      </c>
      <c r="F41" t="s">
        <v>86</v>
      </c>
      <c r="G41" s="1">
        <v>45064</v>
      </c>
      <c r="H41" s="1">
        <v>45596</v>
      </c>
      <c r="I41" s="1">
        <v>46504</v>
      </c>
      <c r="J41">
        <v>1010500</v>
      </c>
      <c r="K41">
        <v>48</v>
      </c>
      <c r="L41">
        <v>31</v>
      </c>
      <c r="M41">
        <v>17</v>
      </c>
      <c r="N41">
        <v>14.5</v>
      </c>
      <c r="O41">
        <v>27867.52</v>
      </c>
      <c r="P41" t="s">
        <v>116</v>
      </c>
      <c r="Q41">
        <v>602521.05000000005</v>
      </c>
      <c r="R41">
        <v>27867.52</v>
      </c>
      <c r="S41">
        <v>27725.19</v>
      </c>
      <c r="T41" s="1">
        <v>45562</v>
      </c>
      <c r="U41" t="s">
        <v>73</v>
      </c>
      <c r="V41">
        <v>0</v>
      </c>
      <c r="W41">
        <v>17</v>
      </c>
      <c r="X41">
        <v>17</v>
      </c>
      <c r="Y41">
        <v>0</v>
      </c>
      <c r="Z41">
        <v>0</v>
      </c>
      <c r="AA41">
        <v>0</v>
      </c>
      <c r="AB41" t="s">
        <v>97</v>
      </c>
      <c r="AC41" t="s">
        <v>152</v>
      </c>
      <c r="AD41">
        <v>2020</v>
      </c>
      <c r="AE41" t="s">
        <v>76</v>
      </c>
      <c r="AF41" t="b">
        <v>0</v>
      </c>
      <c r="AG41">
        <v>1164000</v>
      </c>
      <c r="AH41">
        <v>878209.63</v>
      </c>
      <c r="AI41">
        <v>0.86819999999999997</v>
      </c>
      <c r="AJ41">
        <v>0.65029999999999999</v>
      </c>
      <c r="AK41">
        <v>29</v>
      </c>
      <c r="AL41" t="s">
        <v>132</v>
      </c>
      <c r="AM41">
        <v>2679000</v>
      </c>
      <c r="AN41">
        <v>0.12479999999999999</v>
      </c>
      <c r="AO41">
        <v>808</v>
      </c>
      <c r="AP41">
        <v>774</v>
      </c>
      <c r="AQ41" t="s">
        <v>78</v>
      </c>
      <c r="AR41" t="s">
        <v>133</v>
      </c>
      <c r="AS41">
        <v>1</v>
      </c>
      <c r="AT41">
        <v>2.2100000000000002E-2</v>
      </c>
      <c r="AU41">
        <v>0.42130000000000001</v>
      </c>
      <c r="AV41">
        <v>615903</v>
      </c>
      <c r="AW41">
        <v>5734.51</v>
      </c>
      <c r="AX41" t="b">
        <v>0</v>
      </c>
      <c r="AY41" t="b">
        <v>0</v>
      </c>
      <c r="AZ41" t="s">
        <v>80</v>
      </c>
      <c r="BA41">
        <v>0</v>
      </c>
      <c r="BB41">
        <v>0</v>
      </c>
      <c r="BC41">
        <v>0</v>
      </c>
      <c r="BD41">
        <v>0</v>
      </c>
      <c r="BE41" t="s">
        <v>108</v>
      </c>
      <c r="BF41" t="b">
        <v>0</v>
      </c>
    </row>
    <row r="42" spans="1:58" x14ac:dyDescent="0.3">
      <c r="A42" t="s">
        <v>236</v>
      </c>
      <c r="B42" t="s">
        <v>67</v>
      </c>
      <c r="C42" t="s">
        <v>237</v>
      </c>
      <c r="D42" t="s">
        <v>84</v>
      </c>
      <c r="E42" t="s">
        <v>85</v>
      </c>
      <c r="F42" t="s">
        <v>71</v>
      </c>
      <c r="G42" s="1">
        <v>45157</v>
      </c>
      <c r="H42" s="1">
        <v>45596</v>
      </c>
      <c r="I42" s="1">
        <v>46957</v>
      </c>
      <c r="J42">
        <v>1357900</v>
      </c>
      <c r="K42">
        <v>60</v>
      </c>
      <c r="L42">
        <v>46</v>
      </c>
      <c r="M42">
        <v>14</v>
      </c>
      <c r="N42">
        <v>12.95</v>
      </c>
      <c r="O42">
        <v>30861.65</v>
      </c>
      <c r="P42" t="s">
        <v>72</v>
      </c>
      <c r="Q42">
        <v>1015484.15</v>
      </c>
      <c r="R42">
        <v>30861.65</v>
      </c>
      <c r="S42">
        <v>22972.720000000001</v>
      </c>
      <c r="T42" s="1">
        <v>45570</v>
      </c>
      <c r="U42" t="s">
        <v>143</v>
      </c>
      <c r="V42">
        <v>59</v>
      </c>
      <c r="W42">
        <v>14</v>
      </c>
      <c r="X42">
        <v>10</v>
      </c>
      <c r="Y42">
        <v>0</v>
      </c>
      <c r="Z42">
        <v>0</v>
      </c>
      <c r="AA42">
        <v>0</v>
      </c>
      <c r="AB42" t="s">
        <v>125</v>
      </c>
      <c r="AC42" t="s">
        <v>238</v>
      </c>
      <c r="AD42">
        <v>2023</v>
      </c>
      <c r="AE42" t="s">
        <v>90</v>
      </c>
      <c r="AF42" t="b">
        <v>1</v>
      </c>
      <c r="AG42">
        <v>1783000</v>
      </c>
      <c r="AH42">
        <v>1350911.25</v>
      </c>
      <c r="AI42">
        <v>0.76160000000000005</v>
      </c>
      <c r="AJ42">
        <v>0.6845</v>
      </c>
      <c r="AK42">
        <v>33</v>
      </c>
      <c r="AL42" t="s">
        <v>77</v>
      </c>
      <c r="AM42">
        <v>4066000</v>
      </c>
      <c r="AN42">
        <v>9.11E-2</v>
      </c>
      <c r="AO42">
        <v>685</v>
      </c>
      <c r="AP42">
        <v>667</v>
      </c>
      <c r="AQ42" t="s">
        <v>145</v>
      </c>
      <c r="AR42" t="s">
        <v>182</v>
      </c>
      <c r="AS42">
        <v>2</v>
      </c>
      <c r="AT42">
        <v>0.14380000000000001</v>
      </c>
      <c r="AU42">
        <v>0.3775</v>
      </c>
      <c r="AV42">
        <v>1061714.32</v>
      </c>
      <c r="AW42">
        <v>57634.63</v>
      </c>
      <c r="AX42" t="b">
        <v>0</v>
      </c>
      <c r="AY42" t="b">
        <v>0</v>
      </c>
      <c r="AZ42" t="s">
        <v>80</v>
      </c>
      <c r="BA42">
        <v>0</v>
      </c>
      <c r="BB42">
        <v>0</v>
      </c>
      <c r="BC42">
        <v>0</v>
      </c>
      <c r="BD42">
        <v>0</v>
      </c>
      <c r="BE42" t="s">
        <v>108</v>
      </c>
      <c r="BF42" t="b">
        <v>0</v>
      </c>
    </row>
    <row r="43" spans="1:58" x14ac:dyDescent="0.3">
      <c r="A43" t="s">
        <v>239</v>
      </c>
      <c r="B43" t="s">
        <v>67</v>
      </c>
      <c r="C43" t="s">
        <v>240</v>
      </c>
      <c r="D43" t="s">
        <v>84</v>
      </c>
      <c r="E43" t="s">
        <v>85</v>
      </c>
      <c r="F43" t="s">
        <v>124</v>
      </c>
      <c r="G43" s="1">
        <v>45225</v>
      </c>
      <c r="H43" s="1">
        <v>45596</v>
      </c>
      <c r="I43" s="1">
        <v>46305</v>
      </c>
      <c r="J43">
        <v>408000</v>
      </c>
      <c r="K43">
        <v>36</v>
      </c>
      <c r="L43">
        <v>24</v>
      </c>
      <c r="M43">
        <v>12</v>
      </c>
      <c r="N43">
        <v>13.37</v>
      </c>
      <c r="O43">
        <v>13819.96</v>
      </c>
      <c r="P43" t="s">
        <v>72</v>
      </c>
      <c r="Q43">
        <v>271318.40000000002</v>
      </c>
      <c r="R43">
        <v>13819.96</v>
      </c>
      <c r="S43">
        <v>13760.69</v>
      </c>
      <c r="T43" s="1">
        <v>45589</v>
      </c>
      <c r="U43" t="s">
        <v>73</v>
      </c>
      <c r="V43">
        <v>0</v>
      </c>
      <c r="W43">
        <v>12</v>
      </c>
      <c r="X43">
        <v>12</v>
      </c>
      <c r="Y43">
        <v>0</v>
      </c>
      <c r="Z43">
        <v>0</v>
      </c>
      <c r="AA43">
        <v>0</v>
      </c>
      <c r="AB43" t="s">
        <v>111</v>
      </c>
      <c r="AC43" t="s">
        <v>228</v>
      </c>
      <c r="AD43">
        <v>2023</v>
      </c>
      <c r="AE43" t="s">
        <v>99</v>
      </c>
      <c r="AF43" t="b">
        <v>1</v>
      </c>
      <c r="AG43">
        <v>669000</v>
      </c>
      <c r="AH43">
        <v>611225.79</v>
      </c>
      <c r="AI43">
        <v>0.6099</v>
      </c>
      <c r="AJ43">
        <v>0.4738</v>
      </c>
      <c r="AK43">
        <v>32</v>
      </c>
      <c r="AL43" t="s">
        <v>77</v>
      </c>
      <c r="AM43">
        <v>480000</v>
      </c>
      <c r="AN43">
        <v>0.34549999999999997</v>
      </c>
      <c r="AO43">
        <v>770</v>
      </c>
      <c r="AP43">
        <v>737</v>
      </c>
      <c r="AQ43" t="s">
        <v>127</v>
      </c>
      <c r="AR43" t="s">
        <v>215</v>
      </c>
      <c r="AS43">
        <v>1</v>
      </c>
      <c r="AT43">
        <v>1.5299999999999999E-2</v>
      </c>
      <c r="AU43">
        <v>0.43640000000000001</v>
      </c>
      <c r="AV43">
        <v>275403.78999999998</v>
      </c>
      <c r="AW43">
        <v>1838.85</v>
      </c>
      <c r="AX43" t="b">
        <v>0</v>
      </c>
      <c r="AY43" t="b">
        <v>0</v>
      </c>
      <c r="AZ43" t="s">
        <v>80</v>
      </c>
      <c r="BA43">
        <v>0</v>
      </c>
      <c r="BB43">
        <v>0</v>
      </c>
      <c r="BC43">
        <v>0</v>
      </c>
      <c r="BD43">
        <v>17405.919999999998</v>
      </c>
      <c r="BE43" t="s">
        <v>108</v>
      </c>
      <c r="BF43" t="b">
        <v>0</v>
      </c>
    </row>
    <row r="44" spans="1:58" x14ac:dyDescent="0.3">
      <c r="A44" t="s">
        <v>241</v>
      </c>
      <c r="B44" t="s">
        <v>67</v>
      </c>
      <c r="C44" t="s">
        <v>242</v>
      </c>
      <c r="D44" t="s">
        <v>95</v>
      </c>
      <c r="E44" t="s">
        <v>96</v>
      </c>
      <c r="F44" t="s">
        <v>115</v>
      </c>
      <c r="G44" s="1">
        <v>45220</v>
      </c>
      <c r="H44" s="1">
        <v>45596</v>
      </c>
      <c r="I44" s="1">
        <v>47380</v>
      </c>
      <c r="J44">
        <v>628100</v>
      </c>
      <c r="K44">
        <v>72</v>
      </c>
      <c r="L44">
        <v>60</v>
      </c>
      <c r="M44">
        <v>12</v>
      </c>
      <c r="N44">
        <v>7.51</v>
      </c>
      <c r="O44">
        <v>10862.96</v>
      </c>
      <c r="P44" t="s">
        <v>72</v>
      </c>
      <c r="Q44">
        <v>498775.47</v>
      </c>
      <c r="R44">
        <v>10862.96</v>
      </c>
      <c r="S44">
        <v>6389.05</v>
      </c>
      <c r="T44" s="1">
        <v>45575</v>
      </c>
      <c r="U44" t="s">
        <v>163</v>
      </c>
      <c r="V44">
        <v>106</v>
      </c>
      <c r="W44">
        <v>12</v>
      </c>
      <c r="X44">
        <v>7</v>
      </c>
      <c r="Y44">
        <v>0</v>
      </c>
      <c r="Z44">
        <v>2</v>
      </c>
      <c r="AA44">
        <v>1</v>
      </c>
      <c r="AB44" t="s">
        <v>104</v>
      </c>
      <c r="AC44" t="s">
        <v>105</v>
      </c>
      <c r="AD44">
        <v>2023</v>
      </c>
      <c r="AE44" t="s">
        <v>90</v>
      </c>
      <c r="AF44" t="b">
        <v>1</v>
      </c>
      <c r="AG44">
        <v>966000</v>
      </c>
      <c r="AH44">
        <v>766269.57</v>
      </c>
      <c r="AI44">
        <v>0.65029999999999999</v>
      </c>
      <c r="AJ44">
        <v>0.60319999999999996</v>
      </c>
      <c r="AK44">
        <v>49</v>
      </c>
      <c r="AL44" t="s">
        <v>77</v>
      </c>
      <c r="AM44">
        <v>3423000</v>
      </c>
      <c r="AN44">
        <v>3.8100000000000002E-2</v>
      </c>
      <c r="AO44">
        <v>671</v>
      </c>
      <c r="AP44">
        <v>688</v>
      </c>
      <c r="AQ44" t="s">
        <v>91</v>
      </c>
      <c r="AR44" t="s">
        <v>92</v>
      </c>
      <c r="AS44">
        <v>3</v>
      </c>
      <c r="AT44">
        <v>0.77710000000000001</v>
      </c>
      <c r="AU44">
        <v>0.37030000000000002</v>
      </c>
      <c r="AV44">
        <v>504788.85</v>
      </c>
      <c r="AW44">
        <v>145258.10999999999</v>
      </c>
      <c r="AX44" t="b">
        <v>0</v>
      </c>
      <c r="AY44" t="b">
        <v>0</v>
      </c>
      <c r="AZ44" t="s">
        <v>80</v>
      </c>
      <c r="BA44">
        <v>0</v>
      </c>
      <c r="BB44">
        <v>0</v>
      </c>
      <c r="BC44">
        <v>0</v>
      </c>
      <c r="BD44">
        <v>0</v>
      </c>
      <c r="BE44" t="s">
        <v>108</v>
      </c>
      <c r="BF44" t="b">
        <v>1</v>
      </c>
    </row>
    <row r="45" spans="1:58" x14ac:dyDescent="0.3">
      <c r="A45" t="s">
        <v>243</v>
      </c>
      <c r="B45" t="s">
        <v>67</v>
      </c>
      <c r="C45" t="s">
        <v>244</v>
      </c>
      <c r="D45" t="s">
        <v>69</v>
      </c>
      <c r="E45" t="s">
        <v>70</v>
      </c>
      <c r="F45" t="s">
        <v>86</v>
      </c>
      <c r="G45" s="1">
        <v>44918</v>
      </c>
      <c r="H45" s="1">
        <v>45596</v>
      </c>
      <c r="I45" s="1">
        <v>47078</v>
      </c>
      <c r="J45">
        <v>1480300</v>
      </c>
      <c r="K45">
        <v>72</v>
      </c>
      <c r="L45">
        <v>50</v>
      </c>
      <c r="M45">
        <v>22</v>
      </c>
      <c r="N45">
        <v>11.92</v>
      </c>
      <c r="O45">
        <v>28878.6</v>
      </c>
      <c r="P45" t="s">
        <v>72</v>
      </c>
      <c r="Q45">
        <v>1050318.75</v>
      </c>
      <c r="R45">
        <v>28878.6</v>
      </c>
      <c r="S45">
        <v>28413.759999999998</v>
      </c>
      <c r="T45" s="1">
        <v>45585</v>
      </c>
      <c r="U45" t="s">
        <v>73</v>
      </c>
      <c r="V45">
        <v>0</v>
      </c>
      <c r="W45">
        <v>22</v>
      </c>
      <c r="X45">
        <v>22</v>
      </c>
      <c r="Y45">
        <v>0</v>
      </c>
      <c r="Z45">
        <v>0</v>
      </c>
      <c r="AA45">
        <v>0</v>
      </c>
      <c r="AB45" t="s">
        <v>97</v>
      </c>
      <c r="AC45" t="s">
        <v>152</v>
      </c>
      <c r="AD45">
        <v>2022</v>
      </c>
      <c r="AE45" t="s">
        <v>76</v>
      </c>
      <c r="AF45" t="b">
        <v>1</v>
      </c>
      <c r="AG45">
        <v>1763000</v>
      </c>
      <c r="AH45">
        <v>1296582.69</v>
      </c>
      <c r="AI45">
        <v>0.83960000000000001</v>
      </c>
      <c r="AJ45">
        <v>0.8095</v>
      </c>
      <c r="AK45">
        <v>52</v>
      </c>
      <c r="AL45" t="s">
        <v>132</v>
      </c>
      <c r="AM45">
        <v>514000</v>
      </c>
      <c r="AN45">
        <v>0.67420000000000002</v>
      </c>
      <c r="AO45">
        <v>701</v>
      </c>
      <c r="AP45">
        <v>656</v>
      </c>
      <c r="AQ45" t="s">
        <v>91</v>
      </c>
      <c r="AR45" t="s">
        <v>192</v>
      </c>
      <c r="AS45">
        <v>1</v>
      </c>
      <c r="AT45">
        <v>1.7299999999999999E-2</v>
      </c>
      <c r="AU45">
        <v>0.58979999999999999</v>
      </c>
      <c r="AV45">
        <v>1073265.6599999999</v>
      </c>
      <c r="AW45">
        <v>10951.11</v>
      </c>
      <c r="AX45" t="b">
        <v>0</v>
      </c>
      <c r="AY45" t="b">
        <v>0</v>
      </c>
      <c r="AZ45" t="s">
        <v>80</v>
      </c>
      <c r="BA45">
        <v>0</v>
      </c>
      <c r="BB45">
        <v>0</v>
      </c>
      <c r="BC45">
        <v>0</v>
      </c>
      <c r="BD45">
        <v>0</v>
      </c>
      <c r="BE45" t="s">
        <v>134</v>
      </c>
      <c r="BF45" t="b">
        <v>1</v>
      </c>
    </row>
    <row r="46" spans="1:58" x14ac:dyDescent="0.3">
      <c r="A46" t="s">
        <v>245</v>
      </c>
      <c r="B46" t="s">
        <v>67</v>
      </c>
      <c r="C46" t="s">
        <v>246</v>
      </c>
      <c r="D46" t="s">
        <v>69</v>
      </c>
      <c r="E46" t="s">
        <v>70</v>
      </c>
      <c r="F46" t="s">
        <v>115</v>
      </c>
      <c r="G46" s="1">
        <v>45215</v>
      </c>
      <c r="H46" s="1">
        <v>45596</v>
      </c>
      <c r="I46" s="1">
        <v>46655</v>
      </c>
      <c r="J46">
        <v>821400</v>
      </c>
      <c r="K46">
        <v>48</v>
      </c>
      <c r="L46">
        <v>36</v>
      </c>
      <c r="M46">
        <v>12</v>
      </c>
      <c r="N46">
        <v>11.32</v>
      </c>
      <c r="O46">
        <v>21357.39</v>
      </c>
      <c r="P46" t="s">
        <v>72</v>
      </c>
      <c r="Q46">
        <v>584127.35</v>
      </c>
      <c r="R46">
        <v>21357.39</v>
      </c>
      <c r="S46">
        <v>20594.46</v>
      </c>
      <c r="T46" s="1">
        <v>45568</v>
      </c>
      <c r="U46" t="s">
        <v>73</v>
      </c>
      <c r="V46">
        <v>0</v>
      </c>
      <c r="W46">
        <v>12</v>
      </c>
      <c r="X46">
        <v>12</v>
      </c>
      <c r="Y46">
        <v>0</v>
      </c>
      <c r="Z46">
        <v>0</v>
      </c>
      <c r="AA46">
        <v>0</v>
      </c>
      <c r="AB46" t="s">
        <v>111</v>
      </c>
      <c r="AC46" t="s">
        <v>112</v>
      </c>
      <c r="AD46">
        <v>2023</v>
      </c>
      <c r="AE46" t="s">
        <v>166</v>
      </c>
      <c r="AF46" t="b">
        <v>1</v>
      </c>
      <c r="AG46">
        <v>1013000</v>
      </c>
      <c r="AH46">
        <v>786450.23</v>
      </c>
      <c r="AI46">
        <v>0.81089999999999995</v>
      </c>
      <c r="AJ46">
        <v>0.67359999999999998</v>
      </c>
      <c r="AK46">
        <v>43</v>
      </c>
      <c r="AL46" t="s">
        <v>106</v>
      </c>
      <c r="AM46">
        <v>3252000</v>
      </c>
      <c r="AN46">
        <v>7.8799999999999995E-2</v>
      </c>
      <c r="AO46">
        <v>759</v>
      </c>
      <c r="AP46">
        <v>730</v>
      </c>
      <c r="AQ46" t="s">
        <v>127</v>
      </c>
      <c r="AR46" t="s">
        <v>185</v>
      </c>
      <c r="AS46">
        <v>1</v>
      </c>
      <c r="AT46">
        <v>2.2100000000000002E-2</v>
      </c>
      <c r="AU46">
        <v>0.47189999999999999</v>
      </c>
      <c r="AV46">
        <v>599112.73</v>
      </c>
      <c r="AW46">
        <v>6248.14</v>
      </c>
      <c r="AX46" t="b">
        <v>0</v>
      </c>
      <c r="AY46" t="b">
        <v>0</v>
      </c>
      <c r="AZ46" t="s">
        <v>80</v>
      </c>
      <c r="BA46">
        <v>0</v>
      </c>
      <c r="BB46">
        <v>0</v>
      </c>
      <c r="BC46">
        <v>0</v>
      </c>
      <c r="BD46">
        <v>0</v>
      </c>
      <c r="BE46" t="s">
        <v>81</v>
      </c>
      <c r="BF46" t="b">
        <v>1</v>
      </c>
    </row>
    <row r="47" spans="1:58" x14ac:dyDescent="0.3">
      <c r="A47" t="s">
        <v>247</v>
      </c>
      <c r="B47" t="s">
        <v>67</v>
      </c>
      <c r="C47" t="s">
        <v>248</v>
      </c>
      <c r="D47" t="s">
        <v>84</v>
      </c>
      <c r="E47" t="s">
        <v>85</v>
      </c>
      <c r="F47" t="s">
        <v>86</v>
      </c>
      <c r="G47" s="1">
        <v>44334</v>
      </c>
      <c r="H47" s="1">
        <v>45596</v>
      </c>
      <c r="I47" s="1">
        <v>46494</v>
      </c>
      <c r="J47">
        <v>481100</v>
      </c>
      <c r="K47">
        <v>72</v>
      </c>
      <c r="L47">
        <v>31</v>
      </c>
      <c r="M47">
        <v>41</v>
      </c>
      <c r="N47">
        <v>14.14</v>
      </c>
      <c r="O47">
        <v>9949.52</v>
      </c>
      <c r="P47" t="s">
        <v>72</v>
      </c>
      <c r="Q47">
        <v>197985.09</v>
      </c>
      <c r="R47">
        <v>9949.52</v>
      </c>
      <c r="S47">
        <v>7153.14</v>
      </c>
      <c r="T47" s="1">
        <v>45568</v>
      </c>
      <c r="U47" t="s">
        <v>140</v>
      </c>
      <c r="V47">
        <v>252</v>
      </c>
      <c r="W47">
        <v>41</v>
      </c>
      <c r="X47">
        <v>39</v>
      </c>
      <c r="Y47">
        <v>2</v>
      </c>
      <c r="Z47">
        <v>1</v>
      </c>
      <c r="AA47">
        <v>2</v>
      </c>
      <c r="AB47" t="s">
        <v>125</v>
      </c>
      <c r="AC47" t="s">
        <v>238</v>
      </c>
      <c r="AD47">
        <v>2021</v>
      </c>
      <c r="AE47" t="s">
        <v>90</v>
      </c>
      <c r="AF47" t="b">
        <v>1</v>
      </c>
      <c r="AG47">
        <v>736000</v>
      </c>
      <c r="AH47">
        <v>411072.09</v>
      </c>
      <c r="AI47">
        <v>0.65369999999999995</v>
      </c>
      <c r="AJ47">
        <v>0.52949999999999997</v>
      </c>
      <c r="AK47">
        <v>29</v>
      </c>
      <c r="AL47" t="s">
        <v>77</v>
      </c>
      <c r="AM47">
        <v>2788000</v>
      </c>
      <c r="AN47">
        <v>4.2799999999999998E-2</v>
      </c>
      <c r="AO47">
        <v>751</v>
      </c>
      <c r="AP47">
        <v>741</v>
      </c>
      <c r="AQ47" t="s">
        <v>91</v>
      </c>
      <c r="AR47" t="s">
        <v>92</v>
      </c>
      <c r="AS47">
        <v>3</v>
      </c>
      <c r="AT47">
        <v>0.94889999999999997</v>
      </c>
      <c r="AU47">
        <v>0.64959999999999996</v>
      </c>
      <c r="AV47">
        <v>199966.71</v>
      </c>
      <c r="AW47">
        <v>123260.57</v>
      </c>
      <c r="AX47" t="b">
        <v>0</v>
      </c>
      <c r="AY47" t="b">
        <v>0</v>
      </c>
      <c r="AZ47" t="s">
        <v>80</v>
      </c>
      <c r="BA47">
        <v>0</v>
      </c>
      <c r="BB47">
        <v>0</v>
      </c>
      <c r="BC47">
        <v>0</v>
      </c>
      <c r="BD47">
        <v>0</v>
      </c>
      <c r="BE47" t="s">
        <v>81</v>
      </c>
      <c r="BF47" t="b">
        <v>1</v>
      </c>
    </row>
    <row r="48" spans="1:58" x14ac:dyDescent="0.3">
      <c r="A48" t="s">
        <v>249</v>
      </c>
      <c r="B48" t="s">
        <v>67</v>
      </c>
      <c r="C48" t="s">
        <v>250</v>
      </c>
      <c r="D48" t="s">
        <v>84</v>
      </c>
      <c r="E48" t="s">
        <v>85</v>
      </c>
      <c r="F48" t="s">
        <v>124</v>
      </c>
      <c r="G48" s="1">
        <v>44851</v>
      </c>
      <c r="H48" s="1">
        <v>45596</v>
      </c>
      <c r="I48" s="1">
        <v>46291</v>
      </c>
      <c r="J48">
        <v>2879800</v>
      </c>
      <c r="K48">
        <v>48</v>
      </c>
      <c r="L48">
        <v>24</v>
      </c>
      <c r="M48">
        <v>24</v>
      </c>
      <c r="N48">
        <v>13.06</v>
      </c>
      <c r="O48">
        <v>77343.61</v>
      </c>
      <c r="P48" t="s">
        <v>72</v>
      </c>
      <c r="Q48">
        <v>1405793.61</v>
      </c>
      <c r="R48">
        <v>77343.61</v>
      </c>
      <c r="S48">
        <v>78444.509999999995</v>
      </c>
      <c r="T48" s="1">
        <v>45568</v>
      </c>
      <c r="U48" t="s">
        <v>73</v>
      </c>
      <c r="V48">
        <v>0</v>
      </c>
      <c r="W48">
        <v>24</v>
      </c>
      <c r="X48">
        <v>24</v>
      </c>
      <c r="Y48">
        <v>0</v>
      </c>
      <c r="Z48">
        <v>0</v>
      </c>
      <c r="AA48">
        <v>0</v>
      </c>
      <c r="AB48" t="s">
        <v>111</v>
      </c>
      <c r="AC48" t="s">
        <v>251</v>
      </c>
      <c r="AD48">
        <v>2022</v>
      </c>
      <c r="AE48" t="s">
        <v>119</v>
      </c>
      <c r="AF48" t="b">
        <v>1</v>
      </c>
      <c r="AG48">
        <v>3207000</v>
      </c>
      <c r="AH48">
        <v>2267780.81</v>
      </c>
      <c r="AI48">
        <v>0.89800000000000002</v>
      </c>
      <c r="AJ48">
        <v>0.61570000000000003</v>
      </c>
      <c r="AK48">
        <v>36</v>
      </c>
      <c r="AL48" t="s">
        <v>77</v>
      </c>
      <c r="AM48">
        <v>1413000</v>
      </c>
      <c r="AN48">
        <v>0.65680000000000005</v>
      </c>
      <c r="AO48">
        <v>776</v>
      </c>
      <c r="AP48">
        <v>729</v>
      </c>
      <c r="AQ48" t="s">
        <v>91</v>
      </c>
      <c r="AR48" t="s">
        <v>252</v>
      </c>
      <c r="AS48">
        <v>1</v>
      </c>
      <c r="AT48">
        <v>2.0299999999999999E-2</v>
      </c>
      <c r="AU48">
        <v>0.58069999999999999</v>
      </c>
      <c r="AV48">
        <v>1463665.87</v>
      </c>
      <c r="AW48">
        <v>17254</v>
      </c>
      <c r="AX48" t="b">
        <v>0</v>
      </c>
      <c r="AY48" t="b">
        <v>0</v>
      </c>
      <c r="AZ48" t="s">
        <v>80</v>
      </c>
      <c r="BA48">
        <v>0</v>
      </c>
      <c r="BB48">
        <v>0</v>
      </c>
      <c r="BC48">
        <v>0</v>
      </c>
      <c r="BD48">
        <v>0</v>
      </c>
      <c r="BE48" t="s">
        <v>108</v>
      </c>
      <c r="BF48" t="b">
        <v>0</v>
      </c>
    </row>
    <row r="49" spans="1:58" x14ac:dyDescent="0.3">
      <c r="A49" t="s">
        <v>253</v>
      </c>
      <c r="B49" t="s">
        <v>67</v>
      </c>
      <c r="C49" t="s">
        <v>254</v>
      </c>
      <c r="D49" t="s">
        <v>84</v>
      </c>
      <c r="E49" t="s">
        <v>85</v>
      </c>
      <c r="F49" t="s">
        <v>115</v>
      </c>
      <c r="G49" s="1">
        <v>45256</v>
      </c>
      <c r="H49" s="1">
        <v>45596</v>
      </c>
      <c r="I49" s="1">
        <v>46696</v>
      </c>
      <c r="J49">
        <v>931800</v>
      </c>
      <c r="K49">
        <v>48</v>
      </c>
      <c r="L49">
        <v>37</v>
      </c>
      <c r="M49">
        <v>11</v>
      </c>
      <c r="N49">
        <v>10.53</v>
      </c>
      <c r="O49">
        <v>23870.73</v>
      </c>
      <c r="P49" t="s">
        <v>72</v>
      </c>
      <c r="Q49">
        <v>744555.82</v>
      </c>
      <c r="R49">
        <v>23870.73</v>
      </c>
      <c r="S49">
        <v>17225.14</v>
      </c>
      <c r="T49" s="1">
        <v>45575</v>
      </c>
      <c r="U49" t="s">
        <v>163</v>
      </c>
      <c r="V49">
        <v>117</v>
      </c>
      <c r="W49">
        <v>11</v>
      </c>
      <c r="X49">
        <v>5</v>
      </c>
      <c r="Y49">
        <v>2</v>
      </c>
      <c r="Z49">
        <v>0</v>
      </c>
      <c r="AA49">
        <v>2</v>
      </c>
      <c r="AB49" t="s">
        <v>111</v>
      </c>
      <c r="AC49" t="s">
        <v>228</v>
      </c>
      <c r="AD49">
        <v>2023</v>
      </c>
      <c r="AE49" t="s">
        <v>90</v>
      </c>
      <c r="AF49" t="b">
        <v>1</v>
      </c>
      <c r="AG49">
        <v>1404000</v>
      </c>
      <c r="AH49">
        <v>1302158.3500000001</v>
      </c>
      <c r="AI49">
        <v>0.66369999999999996</v>
      </c>
      <c r="AJ49">
        <v>0.61099999999999999</v>
      </c>
      <c r="AK49">
        <v>29</v>
      </c>
      <c r="AL49" t="s">
        <v>77</v>
      </c>
      <c r="AM49">
        <v>1729000</v>
      </c>
      <c r="AN49">
        <v>0.16569999999999999</v>
      </c>
      <c r="AO49">
        <v>691</v>
      </c>
      <c r="AP49">
        <v>682</v>
      </c>
      <c r="AQ49" t="s">
        <v>100</v>
      </c>
      <c r="AR49" t="s">
        <v>101</v>
      </c>
      <c r="AS49">
        <v>3</v>
      </c>
      <c r="AT49">
        <v>0.85129999999999995</v>
      </c>
      <c r="AU49">
        <v>0.40060000000000001</v>
      </c>
      <c r="AV49">
        <v>779609.77</v>
      </c>
      <c r="AW49">
        <v>265870.93</v>
      </c>
      <c r="AX49" t="b">
        <v>0</v>
      </c>
      <c r="AY49" t="b">
        <v>0</v>
      </c>
      <c r="AZ49" t="s">
        <v>80</v>
      </c>
      <c r="BA49">
        <v>0</v>
      </c>
      <c r="BB49">
        <v>0</v>
      </c>
      <c r="BC49">
        <v>0</v>
      </c>
      <c r="BD49">
        <v>0</v>
      </c>
      <c r="BE49" t="s">
        <v>108</v>
      </c>
      <c r="BF49" t="b">
        <v>1</v>
      </c>
    </row>
    <row r="50" spans="1:58" x14ac:dyDescent="0.3">
      <c r="A50" t="s">
        <v>255</v>
      </c>
      <c r="B50" t="s">
        <v>67</v>
      </c>
      <c r="C50" t="s">
        <v>256</v>
      </c>
      <c r="D50" t="s">
        <v>69</v>
      </c>
      <c r="E50" t="s">
        <v>70</v>
      </c>
      <c r="F50" t="s">
        <v>86</v>
      </c>
      <c r="G50" s="1">
        <v>45351</v>
      </c>
      <c r="H50" s="1">
        <v>45596</v>
      </c>
      <c r="I50" s="1">
        <v>47511</v>
      </c>
      <c r="J50">
        <v>1393200</v>
      </c>
      <c r="K50">
        <v>72</v>
      </c>
      <c r="L50">
        <v>64</v>
      </c>
      <c r="M50">
        <v>8</v>
      </c>
      <c r="N50">
        <v>13.72</v>
      </c>
      <c r="O50">
        <v>28499.45</v>
      </c>
      <c r="P50" t="s">
        <v>116</v>
      </c>
      <c r="Q50">
        <v>1215906.47</v>
      </c>
      <c r="R50">
        <v>28499.45</v>
      </c>
      <c r="S50">
        <v>28542.14</v>
      </c>
      <c r="T50" s="1">
        <v>45590</v>
      </c>
      <c r="U50" t="s">
        <v>73</v>
      </c>
      <c r="V50">
        <v>0</v>
      </c>
      <c r="W50">
        <v>8</v>
      </c>
      <c r="X50">
        <v>8</v>
      </c>
      <c r="Y50">
        <v>0</v>
      </c>
      <c r="Z50">
        <v>0</v>
      </c>
      <c r="AA50">
        <v>0</v>
      </c>
      <c r="AB50" t="s">
        <v>117</v>
      </c>
      <c r="AC50" t="s">
        <v>257</v>
      </c>
      <c r="AD50">
        <v>2019</v>
      </c>
      <c r="AE50" t="s">
        <v>119</v>
      </c>
      <c r="AF50" t="b">
        <v>0</v>
      </c>
      <c r="AG50">
        <v>1868000</v>
      </c>
      <c r="AH50">
        <v>1627581.21</v>
      </c>
      <c r="AI50">
        <v>0.74580000000000002</v>
      </c>
      <c r="AJ50">
        <v>0.72</v>
      </c>
      <c r="AK50">
        <v>41</v>
      </c>
      <c r="AL50" t="s">
        <v>120</v>
      </c>
      <c r="AM50">
        <v>1451000</v>
      </c>
      <c r="AN50">
        <v>0.23569999999999999</v>
      </c>
      <c r="AO50">
        <v>825</v>
      </c>
      <c r="AP50">
        <v>826</v>
      </c>
      <c r="AQ50" t="s">
        <v>91</v>
      </c>
      <c r="AR50" t="s">
        <v>192</v>
      </c>
      <c r="AS50">
        <v>1</v>
      </c>
      <c r="AT50">
        <v>2.4299999999999999E-2</v>
      </c>
      <c r="AU50">
        <v>0.44579999999999997</v>
      </c>
      <c r="AV50">
        <v>1275973.67</v>
      </c>
      <c r="AW50">
        <v>13822.55</v>
      </c>
      <c r="AX50" t="b">
        <v>0</v>
      </c>
      <c r="AY50" t="b">
        <v>0</v>
      </c>
      <c r="AZ50" t="s">
        <v>80</v>
      </c>
      <c r="BA50">
        <v>0</v>
      </c>
      <c r="BB50">
        <v>0</v>
      </c>
      <c r="BC50">
        <v>0</v>
      </c>
      <c r="BD50">
        <v>0</v>
      </c>
      <c r="BE50" t="s">
        <v>134</v>
      </c>
      <c r="BF50" t="b">
        <v>1</v>
      </c>
    </row>
    <row r="51" spans="1:58" x14ac:dyDescent="0.3">
      <c r="A51" t="s">
        <v>258</v>
      </c>
      <c r="B51" t="s">
        <v>67</v>
      </c>
      <c r="C51" t="s">
        <v>259</v>
      </c>
      <c r="D51" t="s">
        <v>69</v>
      </c>
      <c r="E51" t="s">
        <v>70</v>
      </c>
      <c r="F51" t="s">
        <v>86</v>
      </c>
      <c r="G51" s="1">
        <v>45152</v>
      </c>
      <c r="H51" s="1">
        <v>45596</v>
      </c>
      <c r="I51" s="1">
        <v>47312</v>
      </c>
      <c r="J51">
        <v>516400</v>
      </c>
      <c r="K51">
        <v>72</v>
      </c>
      <c r="L51">
        <v>58</v>
      </c>
      <c r="M51">
        <v>14</v>
      </c>
      <c r="N51">
        <v>13.55</v>
      </c>
      <c r="O51">
        <v>10516.77</v>
      </c>
      <c r="P51" t="s">
        <v>72</v>
      </c>
      <c r="Q51">
        <v>400480.91</v>
      </c>
      <c r="R51">
        <v>10516.77</v>
      </c>
      <c r="S51">
        <v>10444.129999999999</v>
      </c>
      <c r="T51" s="1">
        <v>45580</v>
      </c>
      <c r="U51" t="s">
        <v>73</v>
      </c>
      <c r="V51">
        <v>0</v>
      </c>
      <c r="W51">
        <v>14</v>
      </c>
      <c r="X51">
        <v>14</v>
      </c>
      <c r="Y51">
        <v>0</v>
      </c>
      <c r="Z51">
        <v>0</v>
      </c>
      <c r="AA51">
        <v>0</v>
      </c>
      <c r="AB51" t="s">
        <v>74</v>
      </c>
      <c r="AC51" t="s">
        <v>260</v>
      </c>
      <c r="AD51">
        <v>2023</v>
      </c>
      <c r="AE51" t="s">
        <v>76</v>
      </c>
      <c r="AF51" t="b">
        <v>1</v>
      </c>
      <c r="AG51">
        <v>736000</v>
      </c>
      <c r="AH51">
        <v>640215</v>
      </c>
      <c r="AI51">
        <v>0.7016</v>
      </c>
      <c r="AJ51">
        <v>0.65400000000000003</v>
      </c>
      <c r="AK51">
        <v>43</v>
      </c>
      <c r="AL51" t="s">
        <v>106</v>
      </c>
      <c r="AM51">
        <v>1301000</v>
      </c>
      <c r="AN51">
        <v>9.7000000000000003E-2</v>
      </c>
      <c r="AO51">
        <v>781</v>
      </c>
      <c r="AP51">
        <v>790</v>
      </c>
      <c r="AQ51" t="s">
        <v>127</v>
      </c>
      <c r="AR51" t="s">
        <v>185</v>
      </c>
      <c r="AS51">
        <v>1</v>
      </c>
      <c r="AT51">
        <v>1.9900000000000001E-2</v>
      </c>
      <c r="AU51">
        <v>0.61470000000000002</v>
      </c>
      <c r="AV51">
        <v>413581.84</v>
      </c>
      <c r="AW51">
        <v>5059.1499999999996</v>
      </c>
      <c r="AX51" t="b">
        <v>0</v>
      </c>
      <c r="AY51" t="b">
        <v>0</v>
      </c>
      <c r="AZ51" t="s">
        <v>80</v>
      </c>
      <c r="BA51">
        <v>0</v>
      </c>
      <c r="BB51">
        <v>0</v>
      </c>
      <c r="BC51">
        <v>0</v>
      </c>
      <c r="BD51">
        <v>0</v>
      </c>
      <c r="BE51" t="s">
        <v>81</v>
      </c>
      <c r="BF51" t="b">
        <v>1</v>
      </c>
    </row>
    <row r="52" spans="1:58" x14ac:dyDescent="0.3">
      <c r="A52" t="s">
        <v>261</v>
      </c>
      <c r="B52" t="s">
        <v>67</v>
      </c>
      <c r="C52" t="s">
        <v>262</v>
      </c>
      <c r="D52" t="s">
        <v>95</v>
      </c>
      <c r="E52" t="s">
        <v>96</v>
      </c>
      <c r="F52" t="s">
        <v>115</v>
      </c>
      <c r="G52" s="1">
        <v>45022</v>
      </c>
      <c r="H52" s="1">
        <v>45596</v>
      </c>
      <c r="I52" s="1">
        <v>46822</v>
      </c>
      <c r="J52">
        <v>958000</v>
      </c>
      <c r="K52">
        <v>60</v>
      </c>
      <c r="L52">
        <v>42</v>
      </c>
      <c r="M52">
        <v>18</v>
      </c>
      <c r="N52">
        <v>8.01</v>
      </c>
      <c r="O52">
        <v>19429.37</v>
      </c>
      <c r="P52" t="s">
        <v>72</v>
      </c>
      <c r="Q52">
        <v>654263.06000000006</v>
      </c>
      <c r="R52">
        <v>19429.37</v>
      </c>
      <c r="S52">
        <v>20193.2</v>
      </c>
      <c r="T52" s="1">
        <v>45588</v>
      </c>
      <c r="U52" t="s">
        <v>73</v>
      </c>
      <c r="V52">
        <v>0</v>
      </c>
      <c r="W52">
        <v>18</v>
      </c>
      <c r="X52">
        <v>18</v>
      </c>
      <c r="Y52">
        <v>0</v>
      </c>
      <c r="Z52">
        <v>0</v>
      </c>
      <c r="AA52">
        <v>0</v>
      </c>
      <c r="AB52" t="s">
        <v>111</v>
      </c>
      <c r="AC52" t="s">
        <v>251</v>
      </c>
      <c r="AD52">
        <v>2023</v>
      </c>
      <c r="AE52" t="s">
        <v>90</v>
      </c>
      <c r="AF52" t="b">
        <v>1</v>
      </c>
      <c r="AG52">
        <v>1318000</v>
      </c>
      <c r="AH52">
        <v>997759.01</v>
      </c>
      <c r="AI52">
        <v>0.72689999999999999</v>
      </c>
      <c r="AJ52">
        <v>0.63319999999999999</v>
      </c>
      <c r="AK52">
        <v>58</v>
      </c>
      <c r="AL52" t="s">
        <v>106</v>
      </c>
      <c r="AM52">
        <v>3342000</v>
      </c>
      <c r="AN52">
        <v>6.9800000000000001E-2</v>
      </c>
      <c r="AO52">
        <v>806</v>
      </c>
      <c r="AP52">
        <v>771</v>
      </c>
      <c r="AQ52" t="s">
        <v>100</v>
      </c>
      <c r="AR52" t="s">
        <v>121</v>
      </c>
      <c r="AS52">
        <v>1</v>
      </c>
      <c r="AT52">
        <v>1.4500000000000001E-2</v>
      </c>
      <c r="AU52">
        <v>0.3911</v>
      </c>
      <c r="AV52">
        <v>665157.87</v>
      </c>
      <c r="AW52">
        <v>3772.08</v>
      </c>
      <c r="AX52" t="b">
        <v>0</v>
      </c>
      <c r="AY52" t="b">
        <v>0</v>
      </c>
      <c r="AZ52" t="s">
        <v>80</v>
      </c>
      <c r="BA52">
        <v>0</v>
      </c>
      <c r="BB52">
        <v>0</v>
      </c>
      <c r="BC52">
        <v>0</v>
      </c>
      <c r="BD52">
        <v>0</v>
      </c>
      <c r="BE52" t="s">
        <v>108</v>
      </c>
      <c r="BF52" t="b">
        <v>1</v>
      </c>
    </row>
    <row r="53" spans="1:58" x14ac:dyDescent="0.3">
      <c r="A53" t="s">
        <v>263</v>
      </c>
      <c r="B53" t="s">
        <v>67</v>
      </c>
      <c r="C53" t="s">
        <v>264</v>
      </c>
      <c r="D53" t="s">
        <v>84</v>
      </c>
      <c r="E53" t="s">
        <v>85</v>
      </c>
      <c r="F53" t="s">
        <v>71</v>
      </c>
      <c r="G53" s="1">
        <v>45452</v>
      </c>
      <c r="H53" s="1">
        <v>45596</v>
      </c>
      <c r="I53" s="1">
        <v>47252</v>
      </c>
      <c r="J53">
        <v>1066300</v>
      </c>
      <c r="K53">
        <v>60</v>
      </c>
      <c r="L53">
        <v>56</v>
      </c>
      <c r="M53">
        <v>4</v>
      </c>
      <c r="N53">
        <v>11.05</v>
      </c>
      <c r="O53">
        <v>23210.54</v>
      </c>
      <c r="P53" t="s">
        <v>72</v>
      </c>
      <c r="Q53">
        <v>971783.14</v>
      </c>
      <c r="R53">
        <v>23210.54</v>
      </c>
      <c r="S53">
        <v>2743.96</v>
      </c>
      <c r="T53" s="1">
        <v>45581</v>
      </c>
      <c r="U53" t="s">
        <v>87</v>
      </c>
      <c r="V53">
        <v>24</v>
      </c>
      <c r="W53">
        <v>4</v>
      </c>
      <c r="X53">
        <v>3</v>
      </c>
      <c r="Y53">
        <v>2</v>
      </c>
      <c r="Z53">
        <v>0</v>
      </c>
      <c r="AA53">
        <v>0</v>
      </c>
      <c r="AB53" t="s">
        <v>111</v>
      </c>
      <c r="AC53" t="s">
        <v>228</v>
      </c>
      <c r="AD53">
        <v>2024</v>
      </c>
      <c r="AE53" t="s">
        <v>90</v>
      </c>
      <c r="AF53" t="b">
        <v>1</v>
      </c>
      <c r="AG53">
        <v>1513000</v>
      </c>
      <c r="AH53">
        <v>1305433.08</v>
      </c>
      <c r="AI53">
        <v>0.70469999999999999</v>
      </c>
      <c r="AJ53">
        <v>0.67469999999999997</v>
      </c>
      <c r="AK53">
        <v>58</v>
      </c>
      <c r="AL53" t="s">
        <v>106</v>
      </c>
      <c r="AM53">
        <v>673000</v>
      </c>
      <c r="AN53">
        <v>0.41389999999999999</v>
      </c>
      <c r="AO53">
        <v>734</v>
      </c>
      <c r="AP53">
        <v>698</v>
      </c>
      <c r="AQ53" t="s">
        <v>127</v>
      </c>
      <c r="AR53" t="s">
        <v>185</v>
      </c>
      <c r="AS53">
        <v>1</v>
      </c>
      <c r="AT53">
        <v>2.2700000000000001E-2</v>
      </c>
      <c r="AU53">
        <v>0.52510000000000001</v>
      </c>
      <c r="AV53">
        <v>980068.18</v>
      </c>
      <c r="AW53">
        <v>11682.19</v>
      </c>
      <c r="AX53" t="b">
        <v>0</v>
      </c>
      <c r="AY53" t="b">
        <v>0</v>
      </c>
      <c r="AZ53" t="s">
        <v>80</v>
      </c>
      <c r="BA53">
        <v>0</v>
      </c>
      <c r="BB53">
        <v>0</v>
      </c>
      <c r="BC53">
        <v>0</v>
      </c>
      <c r="BD53">
        <v>0</v>
      </c>
      <c r="BE53" t="s">
        <v>134</v>
      </c>
      <c r="BF53" t="b">
        <v>1</v>
      </c>
    </row>
    <row r="54" spans="1:58" x14ac:dyDescent="0.3">
      <c r="A54" t="s">
        <v>265</v>
      </c>
      <c r="B54" t="s">
        <v>67</v>
      </c>
      <c r="C54" t="s">
        <v>266</v>
      </c>
      <c r="D54" t="s">
        <v>84</v>
      </c>
      <c r="E54" t="s">
        <v>85</v>
      </c>
      <c r="F54" t="s">
        <v>86</v>
      </c>
      <c r="G54" s="1">
        <v>44422</v>
      </c>
      <c r="H54" s="1">
        <v>45596</v>
      </c>
      <c r="I54" s="1">
        <v>46582</v>
      </c>
      <c r="J54">
        <v>1017600</v>
      </c>
      <c r="K54">
        <v>72</v>
      </c>
      <c r="L54">
        <v>34</v>
      </c>
      <c r="M54">
        <v>38</v>
      </c>
      <c r="N54">
        <v>11.01</v>
      </c>
      <c r="O54">
        <v>19374.29</v>
      </c>
      <c r="P54" t="s">
        <v>72</v>
      </c>
      <c r="Q54">
        <v>476555.34</v>
      </c>
      <c r="R54">
        <v>19374.29</v>
      </c>
      <c r="S54">
        <v>19899.669999999998</v>
      </c>
      <c r="T54" s="1">
        <v>45583</v>
      </c>
      <c r="U54" t="s">
        <v>73</v>
      </c>
      <c r="V54">
        <v>0</v>
      </c>
      <c r="W54">
        <v>38</v>
      </c>
      <c r="X54">
        <v>38</v>
      </c>
      <c r="Y54">
        <v>0</v>
      </c>
      <c r="Z54">
        <v>0</v>
      </c>
      <c r="AA54">
        <v>0</v>
      </c>
      <c r="AB54" t="s">
        <v>125</v>
      </c>
      <c r="AC54" t="s">
        <v>126</v>
      </c>
      <c r="AD54">
        <v>2021</v>
      </c>
      <c r="AE54" t="s">
        <v>166</v>
      </c>
      <c r="AF54" t="b">
        <v>1</v>
      </c>
      <c r="AG54">
        <v>1209000</v>
      </c>
      <c r="AH54">
        <v>682720.01</v>
      </c>
      <c r="AI54">
        <v>0.8417</v>
      </c>
      <c r="AJ54">
        <v>0.72460000000000002</v>
      </c>
      <c r="AK54">
        <v>28</v>
      </c>
      <c r="AL54" t="s">
        <v>77</v>
      </c>
      <c r="AM54">
        <v>2738000</v>
      </c>
      <c r="AN54">
        <v>8.4900000000000003E-2</v>
      </c>
      <c r="AO54">
        <v>793</v>
      </c>
      <c r="AP54">
        <v>784</v>
      </c>
      <c r="AQ54" t="s">
        <v>127</v>
      </c>
      <c r="AR54" t="s">
        <v>215</v>
      </c>
      <c r="AS54">
        <v>1</v>
      </c>
      <c r="AT54">
        <v>2.1299999999999999E-2</v>
      </c>
      <c r="AU54">
        <v>0.40770000000000001</v>
      </c>
      <c r="AV54">
        <v>482429.34</v>
      </c>
      <c r="AW54">
        <v>4189.42</v>
      </c>
      <c r="AX54" t="b">
        <v>0</v>
      </c>
      <c r="AY54" t="b">
        <v>0</v>
      </c>
      <c r="AZ54" t="s">
        <v>80</v>
      </c>
      <c r="BA54">
        <v>0</v>
      </c>
      <c r="BB54">
        <v>0</v>
      </c>
      <c r="BC54">
        <v>0</v>
      </c>
      <c r="BD54">
        <v>0</v>
      </c>
      <c r="BE54" t="s">
        <v>134</v>
      </c>
      <c r="BF54" t="b">
        <v>1</v>
      </c>
    </row>
    <row r="55" spans="1:58" x14ac:dyDescent="0.3">
      <c r="A55" t="s">
        <v>267</v>
      </c>
      <c r="B55" t="s">
        <v>67</v>
      </c>
      <c r="C55" t="s">
        <v>268</v>
      </c>
      <c r="D55" t="s">
        <v>84</v>
      </c>
      <c r="E55" t="s">
        <v>85</v>
      </c>
      <c r="F55" t="s">
        <v>86</v>
      </c>
      <c r="G55" s="1">
        <v>45198</v>
      </c>
      <c r="H55" s="1">
        <v>45596</v>
      </c>
      <c r="I55" s="1">
        <v>47718</v>
      </c>
      <c r="J55">
        <v>1262700</v>
      </c>
      <c r="K55">
        <v>84</v>
      </c>
      <c r="L55">
        <v>71</v>
      </c>
      <c r="M55">
        <v>13</v>
      </c>
      <c r="N55">
        <v>10.16</v>
      </c>
      <c r="O55">
        <v>21066.85</v>
      </c>
      <c r="P55" t="s">
        <v>72</v>
      </c>
      <c r="Q55">
        <v>1117470.1000000001</v>
      </c>
      <c r="R55">
        <v>21066.85</v>
      </c>
      <c r="S55">
        <v>20488.93</v>
      </c>
      <c r="T55" s="1">
        <v>45582</v>
      </c>
      <c r="U55" t="s">
        <v>73</v>
      </c>
      <c r="V55">
        <v>0</v>
      </c>
      <c r="W55">
        <v>13</v>
      </c>
      <c r="X55">
        <v>13</v>
      </c>
      <c r="Y55">
        <v>0</v>
      </c>
      <c r="Z55">
        <v>0</v>
      </c>
      <c r="AA55">
        <v>0</v>
      </c>
      <c r="AB55" t="s">
        <v>111</v>
      </c>
      <c r="AC55" t="s">
        <v>197</v>
      </c>
      <c r="AD55">
        <v>2023</v>
      </c>
      <c r="AE55" t="s">
        <v>119</v>
      </c>
      <c r="AF55" t="b">
        <v>1</v>
      </c>
      <c r="AG55">
        <v>1577000</v>
      </c>
      <c r="AH55">
        <v>1211862.21</v>
      </c>
      <c r="AI55">
        <v>0.80069999999999997</v>
      </c>
      <c r="AJ55">
        <v>0.83960000000000001</v>
      </c>
      <c r="AK55">
        <v>45</v>
      </c>
      <c r="AL55" t="s">
        <v>77</v>
      </c>
      <c r="AM55">
        <v>1665000</v>
      </c>
      <c r="AN55">
        <v>0.15179999999999999</v>
      </c>
      <c r="AO55">
        <v>723</v>
      </c>
      <c r="AP55">
        <v>683</v>
      </c>
      <c r="AQ55" t="s">
        <v>91</v>
      </c>
      <c r="AR55" t="s">
        <v>192</v>
      </c>
      <c r="AS55">
        <v>1</v>
      </c>
      <c r="AT55">
        <v>1.5599999999999999E-2</v>
      </c>
      <c r="AU55">
        <v>0.53469999999999995</v>
      </c>
      <c r="AV55">
        <v>1150258.3799999999</v>
      </c>
      <c r="AW55">
        <v>9594.67</v>
      </c>
      <c r="AX55" t="b">
        <v>0</v>
      </c>
      <c r="AY55" t="b">
        <v>0</v>
      </c>
      <c r="AZ55" t="s">
        <v>80</v>
      </c>
      <c r="BA55">
        <v>0</v>
      </c>
      <c r="BB55">
        <v>0</v>
      </c>
      <c r="BC55">
        <v>0</v>
      </c>
      <c r="BD55">
        <v>0</v>
      </c>
      <c r="BE55" t="s">
        <v>108</v>
      </c>
      <c r="BF55" t="b">
        <v>1</v>
      </c>
    </row>
    <row r="56" spans="1:58" x14ac:dyDescent="0.3">
      <c r="A56" t="s">
        <v>269</v>
      </c>
      <c r="B56" t="s">
        <v>67</v>
      </c>
      <c r="C56" t="s">
        <v>270</v>
      </c>
      <c r="D56" t="s">
        <v>69</v>
      </c>
      <c r="E56" t="s">
        <v>70</v>
      </c>
      <c r="F56" t="s">
        <v>115</v>
      </c>
      <c r="G56" s="1">
        <v>45043</v>
      </c>
      <c r="H56" s="1">
        <v>45596</v>
      </c>
      <c r="I56" s="1">
        <v>47203</v>
      </c>
      <c r="J56">
        <v>608100</v>
      </c>
      <c r="K56">
        <v>72</v>
      </c>
      <c r="L56">
        <v>54</v>
      </c>
      <c r="M56">
        <v>18</v>
      </c>
      <c r="N56">
        <v>12.05</v>
      </c>
      <c r="O56">
        <v>11904.29</v>
      </c>
      <c r="P56" t="s">
        <v>139</v>
      </c>
      <c r="Q56">
        <v>462180.32</v>
      </c>
      <c r="R56">
        <v>11904.29</v>
      </c>
      <c r="S56">
        <v>12411.46</v>
      </c>
      <c r="T56" s="1">
        <v>45594</v>
      </c>
      <c r="U56" t="s">
        <v>73</v>
      </c>
      <c r="V56">
        <v>0</v>
      </c>
      <c r="W56">
        <v>18</v>
      </c>
      <c r="X56">
        <v>18</v>
      </c>
      <c r="Y56">
        <v>0</v>
      </c>
      <c r="Z56">
        <v>0</v>
      </c>
      <c r="AA56">
        <v>0</v>
      </c>
      <c r="AB56" t="s">
        <v>111</v>
      </c>
      <c r="AC56" t="s">
        <v>197</v>
      </c>
      <c r="AD56">
        <v>2021</v>
      </c>
      <c r="AE56" t="s">
        <v>99</v>
      </c>
      <c r="AF56" t="b">
        <v>0</v>
      </c>
      <c r="AG56">
        <v>928000</v>
      </c>
      <c r="AH56">
        <v>656145.27</v>
      </c>
      <c r="AI56">
        <v>0.65529999999999999</v>
      </c>
      <c r="AJ56">
        <v>0.63529999999999998</v>
      </c>
      <c r="AK56">
        <v>43</v>
      </c>
      <c r="AL56" t="s">
        <v>106</v>
      </c>
      <c r="AM56">
        <v>4595000</v>
      </c>
      <c r="AN56">
        <v>3.1099999999999999E-2</v>
      </c>
      <c r="AO56">
        <v>672</v>
      </c>
      <c r="AP56">
        <v>695</v>
      </c>
      <c r="AQ56" t="s">
        <v>100</v>
      </c>
      <c r="AR56" t="s">
        <v>149</v>
      </c>
      <c r="AS56">
        <v>1</v>
      </c>
      <c r="AT56">
        <v>2.5999999999999999E-2</v>
      </c>
      <c r="AU56">
        <v>0.46910000000000002</v>
      </c>
      <c r="AV56">
        <v>473628.15</v>
      </c>
      <c r="AW56">
        <v>5776.65</v>
      </c>
      <c r="AX56" t="b">
        <v>0</v>
      </c>
      <c r="AY56" t="b">
        <v>0</v>
      </c>
      <c r="AZ56" t="s">
        <v>80</v>
      </c>
      <c r="BA56">
        <v>0</v>
      </c>
      <c r="BB56">
        <v>0</v>
      </c>
      <c r="BC56">
        <v>0</v>
      </c>
      <c r="BD56">
        <v>0</v>
      </c>
      <c r="BE56" t="s">
        <v>108</v>
      </c>
      <c r="BF56" t="b">
        <v>0</v>
      </c>
    </row>
    <row r="57" spans="1:58" x14ac:dyDescent="0.3">
      <c r="A57" t="s">
        <v>271</v>
      </c>
      <c r="B57" t="s">
        <v>67</v>
      </c>
      <c r="C57" t="s">
        <v>272</v>
      </c>
      <c r="D57" t="s">
        <v>69</v>
      </c>
      <c r="E57" t="s">
        <v>70</v>
      </c>
      <c r="F57" t="s">
        <v>71</v>
      </c>
      <c r="G57" s="1">
        <v>45360</v>
      </c>
      <c r="H57" s="1">
        <v>45596</v>
      </c>
      <c r="I57" s="1">
        <v>47880</v>
      </c>
      <c r="J57">
        <v>1483600</v>
      </c>
      <c r="K57">
        <v>84</v>
      </c>
      <c r="L57">
        <v>77</v>
      </c>
      <c r="M57">
        <v>7</v>
      </c>
      <c r="N57">
        <v>11.17</v>
      </c>
      <c r="O57">
        <v>25535.65</v>
      </c>
      <c r="P57" t="s">
        <v>72</v>
      </c>
      <c r="Q57">
        <v>1405374.59</v>
      </c>
      <c r="R57">
        <v>25535.65</v>
      </c>
      <c r="S57">
        <v>25967.86</v>
      </c>
      <c r="T57" s="1">
        <v>45585</v>
      </c>
      <c r="U57" t="s">
        <v>73</v>
      </c>
      <c r="V57">
        <v>0</v>
      </c>
      <c r="W57">
        <v>7</v>
      </c>
      <c r="X57">
        <v>7</v>
      </c>
      <c r="Y57">
        <v>0</v>
      </c>
      <c r="Z57">
        <v>0</v>
      </c>
      <c r="AA57">
        <v>0</v>
      </c>
      <c r="AB57" t="s">
        <v>104</v>
      </c>
      <c r="AC57" t="s">
        <v>105</v>
      </c>
      <c r="AD57">
        <v>2024</v>
      </c>
      <c r="AE57" t="s">
        <v>119</v>
      </c>
      <c r="AF57" t="b">
        <v>1</v>
      </c>
      <c r="AG57">
        <v>1568000</v>
      </c>
      <c r="AH57">
        <v>1574655.73</v>
      </c>
      <c r="AI57">
        <v>0.94620000000000004</v>
      </c>
      <c r="AJ57">
        <v>0.97850000000000004</v>
      </c>
      <c r="AK57">
        <v>54</v>
      </c>
      <c r="AL57" t="s">
        <v>120</v>
      </c>
      <c r="AM57">
        <v>1582000</v>
      </c>
      <c r="AN57">
        <v>0.19370000000000001</v>
      </c>
      <c r="AO57">
        <v>678</v>
      </c>
      <c r="AP57">
        <v>670</v>
      </c>
      <c r="AQ57" t="s">
        <v>100</v>
      </c>
      <c r="AR57" t="s">
        <v>107</v>
      </c>
      <c r="AS57">
        <v>1</v>
      </c>
      <c r="AT57">
        <v>2.1299999999999999E-2</v>
      </c>
      <c r="AU57">
        <v>0.54159999999999997</v>
      </c>
      <c r="AV57">
        <v>1433867.88</v>
      </c>
      <c r="AW57">
        <v>16541.21</v>
      </c>
      <c r="AX57" t="b">
        <v>0</v>
      </c>
      <c r="AY57" t="b">
        <v>0</v>
      </c>
      <c r="AZ57" t="s">
        <v>80</v>
      </c>
      <c r="BA57">
        <v>0</v>
      </c>
      <c r="BB57">
        <v>0</v>
      </c>
      <c r="BC57">
        <v>0</v>
      </c>
      <c r="BD57">
        <v>0</v>
      </c>
      <c r="BE57" t="s">
        <v>134</v>
      </c>
      <c r="BF57" t="b">
        <v>1</v>
      </c>
    </row>
    <row r="58" spans="1:58" x14ac:dyDescent="0.3">
      <c r="A58" t="s">
        <v>273</v>
      </c>
      <c r="B58" t="s">
        <v>67</v>
      </c>
      <c r="C58" t="s">
        <v>274</v>
      </c>
      <c r="D58" t="s">
        <v>84</v>
      </c>
      <c r="E58" t="s">
        <v>85</v>
      </c>
      <c r="F58" t="s">
        <v>86</v>
      </c>
      <c r="G58" s="1">
        <v>45174</v>
      </c>
      <c r="H58" s="1">
        <v>45596</v>
      </c>
      <c r="I58" s="1">
        <v>46974</v>
      </c>
      <c r="J58">
        <v>508600</v>
      </c>
      <c r="K58">
        <v>60</v>
      </c>
      <c r="L58">
        <v>47</v>
      </c>
      <c r="M58">
        <v>13</v>
      </c>
      <c r="N58">
        <v>12.08</v>
      </c>
      <c r="O58">
        <v>11334.1</v>
      </c>
      <c r="P58" t="s">
        <v>116</v>
      </c>
      <c r="Q58">
        <v>399963.2</v>
      </c>
      <c r="R58">
        <v>11334.1</v>
      </c>
      <c r="S58">
        <v>11630.89</v>
      </c>
      <c r="T58" s="1">
        <v>45591</v>
      </c>
      <c r="U58" t="s">
        <v>73</v>
      </c>
      <c r="V58">
        <v>0</v>
      </c>
      <c r="W58">
        <v>13</v>
      </c>
      <c r="X58">
        <v>13</v>
      </c>
      <c r="Y58">
        <v>0</v>
      </c>
      <c r="Z58">
        <v>0</v>
      </c>
      <c r="AA58">
        <v>0</v>
      </c>
      <c r="AB58" t="s">
        <v>111</v>
      </c>
      <c r="AC58" t="s">
        <v>228</v>
      </c>
      <c r="AD58">
        <v>2019</v>
      </c>
      <c r="AE58" t="s">
        <v>76</v>
      </c>
      <c r="AF58" t="b">
        <v>0</v>
      </c>
      <c r="AG58">
        <v>711000</v>
      </c>
      <c r="AH58">
        <v>603145.23</v>
      </c>
      <c r="AI58">
        <v>0.71540000000000004</v>
      </c>
      <c r="AJ58">
        <v>0.66649999999999998</v>
      </c>
      <c r="AK58">
        <v>30</v>
      </c>
      <c r="AL58" t="s">
        <v>120</v>
      </c>
      <c r="AM58">
        <v>1742000</v>
      </c>
      <c r="AN58">
        <v>7.8100000000000003E-2</v>
      </c>
      <c r="AO58">
        <v>753</v>
      </c>
      <c r="AP58">
        <v>767</v>
      </c>
      <c r="AQ58" t="s">
        <v>91</v>
      </c>
      <c r="AR58" t="s">
        <v>252</v>
      </c>
      <c r="AS58">
        <v>1</v>
      </c>
      <c r="AT58">
        <v>1.9E-2</v>
      </c>
      <c r="AU58">
        <v>0.51480000000000004</v>
      </c>
      <c r="AV58">
        <v>409378.9</v>
      </c>
      <c r="AW58">
        <v>4004.22</v>
      </c>
      <c r="AX58" t="b">
        <v>0</v>
      </c>
      <c r="AY58" t="b">
        <v>0</v>
      </c>
      <c r="AZ58" t="s">
        <v>80</v>
      </c>
      <c r="BA58">
        <v>0</v>
      </c>
      <c r="BB58">
        <v>0</v>
      </c>
      <c r="BC58">
        <v>0</v>
      </c>
      <c r="BD58">
        <v>0</v>
      </c>
      <c r="BE58" t="s">
        <v>81</v>
      </c>
      <c r="BF58" t="b">
        <v>1</v>
      </c>
    </row>
    <row r="59" spans="1:58" x14ac:dyDescent="0.3">
      <c r="A59" t="s">
        <v>275</v>
      </c>
      <c r="B59" t="s">
        <v>67</v>
      </c>
      <c r="C59" t="s">
        <v>276</v>
      </c>
      <c r="D59" t="s">
        <v>95</v>
      </c>
      <c r="E59" t="s">
        <v>96</v>
      </c>
      <c r="F59" t="s">
        <v>115</v>
      </c>
      <c r="G59" s="1">
        <v>45278</v>
      </c>
      <c r="H59" s="1">
        <v>45596</v>
      </c>
      <c r="I59" s="1">
        <v>47798</v>
      </c>
      <c r="J59">
        <v>318300</v>
      </c>
      <c r="K59">
        <v>84</v>
      </c>
      <c r="L59">
        <v>74</v>
      </c>
      <c r="M59">
        <v>10</v>
      </c>
      <c r="N59">
        <v>8.92</v>
      </c>
      <c r="O59">
        <v>5108.24</v>
      </c>
      <c r="P59" t="s">
        <v>72</v>
      </c>
      <c r="Q59">
        <v>274938.93</v>
      </c>
      <c r="R59">
        <v>5108.24</v>
      </c>
      <c r="S59">
        <v>2862.19</v>
      </c>
      <c r="T59" s="1">
        <v>45562</v>
      </c>
      <c r="U59" t="s">
        <v>143</v>
      </c>
      <c r="V59">
        <v>55</v>
      </c>
      <c r="W59">
        <v>10</v>
      </c>
      <c r="X59">
        <v>5</v>
      </c>
      <c r="Y59">
        <v>0</v>
      </c>
      <c r="Z59">
        <v>2</v>
      </c>
      <c r="AA59">
        <v>0</v>
      </c>
      <c r="AB59" t="s">
        <v>111</v>
      </c>
      <c r="AC59" t="s">
        <v>251</v>
      </c>
      <c r="AD59">
        <v>2023</v>
      </c>
      <c r="AE59" t="s">
        <v>99</v>
      </c>
      <c r="AF59" t="b">
        <v>1</v>
      </c>
      <c r="AG59">
        <v>402000</v>
      </c>
      <c r="AH59">
        <v>388720.24</v>
      </c>
      <c r="AI59">
        <v>0.79169999999999996</v>
      </c>
      <c r="AJ59">
        <v>0.7772</v>
      </c>
      <c r="AK59">
        <v>42</v>
      </c>
      <c r="AL59" t="s">
        <v>120</v>
      </c>
      <c r="AM59">
        <v>846000</v>
      </c>
      <c r="AN59">
        <v>7.2499999999999995E-2</v>
      </c>
      <c r="AO59">
        <v>702</v>
      </c>
      <c r="AP59">
        <v>726</v>
      </c>
      <c r="AQ59" t="s">
        <v>127</v>
      </c>
      <c r="AR59" t="s">
        <v>128</v>
      </c>
      <c r="AS59">
        <v>2</v>
      </c>
      <c r="AT59">
        <v>0.1125</v>
      </c>
      <c r="AU59">
        <v>0.59489999999999998</v>
      </c>
      <c r="AV59">
        <v>285191.46000000002</v>
      </c>
      <c r="AW59">
        <v>19086.79</v>
      </c>
      <c r="AX59" t="b">
        <v>0</v>
      </c>
      <c r="AY59" t="b">
        <v>0</v>
      </c>
      <c r="AZ59" t="s">
        <v>80</v>
      </c>
      <c r="BA59">
        <v>0</v>
      </c>
      <c r="BB59">
        <v>0</v>
      </c>
      <c r="BC59">
        <v>0</v>
      </c>
      <c r="BD59">
        <v>0</v>
      </c>
      <c r="BE59" t="s">
        <v>134</v>
      </c>
      <c r="BF59" t="b">
        <v>1</v>
      </c>
    </row>
    <row r="60" spans="1:58" x14ac:dyDescent="0.3">
      <c r="A60" t="s">
        <v>277</v>
      </c>
      <c r="B60" t="s">
        <v>67</v>
      </c>
      <c r="C60" t="s">
        <v>278</v>
      </c>
      <c r="D60" t="s">
        <v>95</v>
      </c>
      <c r="E60" t="s">
        <v>96</v>
      </c>
      <c r="F60" t="s">
        <v>124</v>
      </c>
      <c r="G60" s="1">
        <v>44338</v>
      </c>
      <c r="H60" s="1">
        <v>45596</v>
      </c>
      <c r="I60" s="1">
        <v>46498</v>
      </c>
      <c r="J60">
        <v>1455700</v>
      </c>
      <c r="K60">
        <v>72</v>
      </c>
      <c r="L60">
        <v>31</v>
      </c>
      <c r="M60">
        <v>41</v>
      </c>
      <c r="N60">
        <v>10.119999999999999</v>
      </c>
      <c r="O60">
        <v>27056.240000000002</v>
      </c>
      <c r="P60" t="s">
        <v>72</v>
      </c>
      <c r="Q60">
        <v>647881.55000000005</v>
      </c>
      <c r="R60">
        <v>27056.240000000002</v>
      </c>
      <c r="S60">
        <v>26123.13</v>
      </c>
      <c r="T60" s="1">
        <v>45584</v>
      </c>
      <c r="U60" t="s">
        <v>73</v>
      </c>
      <c r="V60">
        <v>0</v>
      </c>
      <c r="W60">
        <v>41</v>
      </c>
      <c r="X60">
        <v>41</v>
      </c>
      <c r="Y60">
        <v>0</v>
      </c>
      <c r="Z60">
        <v>0</v>
      </c>
      <c r="AA60">
        <v>0</v>
      </c>
      <c r="AB60" t="s">
        <v>164</v>
      </c>
      <c r="AC60" t="s">
        <v>279</v>
      </c>
      <c r="AD60">
        <v>2021</v>
      </c>
      <c r="AE60" t="s">
        <v>76</v>
      </c>
      <c r="AF60" t="b">
        <v>1</v>
      </c>
      <c r="AG60">
        <v>1677000</v>
      </c>
      <c r="AH60">
        <v>926443.38</v>
      </c>
      <c r="AI60">
        <v>0.86799999999999999</v>
      </c>
      <c r="AJ60">
        <v>0.76049999999999995</v>
      </c>
      <c r="AK60">
        <v>49</v>
      </c>
      <c r="AL60" t="s">
        <v>120</v>
      </c>
      <c r="AM60">
        <v>677000</v>
      </c>
      <c r="AN60">
        <v>0.47960000000000003</v>
      </c>
      <c r="AO60">
        <v>819</v>
      </c>
      <c r="AP60">
        <v>838</v>
      </c>
      <c r="AQ60" t="s">
        <v>100</v>
      </c>
      <c r="AR60" t="s">
        <v>101</v>
      </c>
      <c r="AS60">
        <v>1</v>
      </c>
      <c r="AT60">
        <v>2.2100000000000002E-2</v>
      </c>
      <c r="AU60">
        <v>0.51329999999999998</v>
      </c>
      <c r="AV60">
        <v>665113.05000000005</v>
      </c>
      <c r="AW60">
        <v>7545</v>
      </c>
      <c r="AX60" t="b">
        <v>0</v>
      </c>
      <c r="AY60" t="b">
        <v>0</v>
      </c>
      <c r="AZ60" t="s">
        <v>80</v>
      </c>
      <c r="BA60">
        <v>0</v>
      </c>
      <c r="BB60">
        <v>0</v>
      </c>
      <c r="BC60">
        <v>0</v>
      </c>
      <c r="BD60">
        <v>0</v>
      </c>
      <c r="BE60" t="s">
        <v>134</v>
      </c>
      <c r="BF60" t="b">
        <v>1</v>
      </c>
    </row>
    <row r="61" spans="1:58" x14ac:dyDescent="0.3">
      <c r="A61" t="s">
        <v>280</v>
      </c>
      <c r="B61" t="s">
        <v>67</v>
      </c>
      <c r="C61" t="s">
        <v>281</v>
      </c>
      <c r="D61" t="s">
        <v>84</v>
      </c>
      <c r="E61" t="s">
        <v>85</v>
      </c>
      <c r="F61" t="s">
        <v>86</v>
      </c>
      <c r="G61" s="1">
        <v>44428</v>
      </c>
      <c r="H61" s="1">
        <v>45596</v>
      </c>
      <c r="I61" s="1">
        <v>46948</v>
      </c>
      <c r="J61">
        <v>346100</v>
      </c>
      <c r="K61">
        <v>84</v>
      </c>
      <c r="L61">
        <v>46</v>
      </c>
      <c r="M61">
        <v>38</v>
      </c>
      <c r="N61">
        <v>7.74</v>
      </c>
      <c r="O61">
        <v>5349.67</v>
      </c>
      <c r="P61" t="s">
        <v>72</v>
      </c>
      <c r="Q61">
        <v>187572.67</v>
      </c>
      <c r="R61">
        <v>5349.67</v>
      </c>
      <c r="S61">
        <v>5609.5</v>
      </c>
      <c r="T61" s="1">
        <v>45563</v>
      </c>
      <c r="U61" t="s">
        <v>73</v>
      </c>
      <c r="V61">
        <v>0</v>
      </c>
      <c r="W61">
        <v>38</v>
      </c>
      <c r="X61">
        <v>38</v>
      </c>
      <c r="Y61">
        <v>0</v>
      </c>
      <c r="Z61">
        <v>0</v>
      </c>
      <c r="AA61">
        <v>0</v>
      </c>
      <c r="AB61" t="s">
        <v>117</v>
      </c>
      <c r="AC61" t="s">
        <v>160</v>
      </c>
      <c r="AD61">
        <v>2021</v>
      </c>
      <c r="AE61" t="s">
        <v>99</v>
      </c>
      <c r="AF61" t="b">
        <v>1</v>
      </c>
      <c r="AG61">
        <v>555000</v>
      </c>
      <c r="AH61">
        <v>285075.44</v>
      </c>
      <c r="AI61">
        <v>0.62360000000000004</v>
      </c>
      <c r="AJ61">
        <v>0.62129999999999996</v>
      </c>
      <c r="AK61">
        <v>28</v>
      </c>
      <c r="AL61" t="s">
        <v>77</v>
      </c>
      <c r="AM61">
        <v>3781000</v>
      </c>
      <c r="AN61">
        <v>1.7000000000000001E-2</v>
      </c>
      <c r="AO61">
        <v>752</v>
      </c>
      <c r="AP61">
        <v>758</v>
      </c>
      <c r="AQ61" t="s">
        <v>100</v>
      </c>
      <c r="AR61" t="s">
        <v>149</v>
      </c>
      <c r="AS61">
        <v>1</v>
      </c>
      <c r="AT61">
        <v>2.0899999999999998E-2</v>
      </c>
      <c r="AU61">
        <v>0.58179999999999998</v>
      </c>
      <c r="AV61">
        <v>195247.98</v>
      </c>
      <c r="AW61">
        <v>2374.14</v>
      </c>
      <c r="AX61" t="b">
        <v>0</v>
      </c>
      <c r="AY61" t="b">
        <v>0</v>
      </c>
      <c r="AZ61" t="s">
        <v>80</v>
      </c>
      <c r="BA61">
        <v>0</v>
      </c>
      <c r="BB61">
        <v>0</v>
      </c>
      <c r="BC61">
        <v>0</v>
      </c>
      <c r="BD61">
        <v>0</v>
      </c>
      <c r="BE61" t="s">
        <v>108</v>
      </c>
      <c r="BF61" t="b">
        <v>0</v>
      </c>
    </row>
    <row r="62" spans="1:58" x14ac:dyDescent="0.3">
      <c r="A62" t="s">
        <v>282</v>
      </c>
      <c r="B62" t="s">
        <v>67</v>
      </c>
      <c r="C62" t="s">
        <v>283</v>
      </c>
      <c r="D62" t="s">
        <v>69</v>
      </c>
      <c r="E62" t="s">
        <v>70</v>
      </c>
      <c r="F62" t="s">
        <v>124</v>
      </c>
      <c r="G62" s="1">
        <v>44812</v>
      </c>
      <c r="H62" s="1">
        <v>45596</v>
      </c>
      <c r="I62" s="1">
        <v>46972</v>
      </c>
      <c r="J62">
        <v>1533000</v>
      </c>
      <c r="K62">
        <v>72</v>
      </c>
      <c r="L62">
        <v>47</v>
      </c>
      <c r="M62">
        <v>25</v>
      </c>
      <c r="N62">
        <v>11.39</v>
      </c>
      <c r="O62">
        <v>29486.38</v>
      </c>
      <c r="P62" t="s">
        <v>72</v>
      </c>
      <c r="Q62">
        <v>907675.1</v>
      </c>
      <c r="R62">
        <v>29486.38</v>
      </c>
      <c r="S62">
        <v>28245.21</v>
      </c>
      <c r="T62" s="1">
        <v>45568</v>
      </c>
      <c r="U62" t="s">
        <v>73</v>
      </c>
      <c r="V62">
        <v>0</v>
      </c>
      <c r="W62">
        <v>25</v>
      </c>
      <c r="X62">
        <v>25</v>
      </c>
      <c r="Y62">
        <v>0</v>
      </c>
      <c r="Z62">
        <v>0</v>
      </c>
      <c r="AA62">
        <v>0</v>
      </c>
      <c r="AB62" t="s">
        <v>88</v>
      </c>
      <c r="AC62" t="s">
        <v>89</v>
      </c>
      <c r="AD62">
        <v>2022</v>
      </c>
      <c r="AE62" t="s">
        <v>90</v>
      </c>
      <c r="AF62" t="b">
        <v>1</v>
      </c>
      <c r="AG62">
        <v>1668000</v>
      </c>
      <c r="AH62">
        <v>1248662.5900000001</v>
      </c>
      <c r="AI62">
        <v>0.91910000000000003</v>
      </c>
      <c r="AJ62">
        <v>0.77739999999999998</v>
      </c>
      <c r="AK62">
        <v>48</v>
      </c>
      <c r="AL62" t="s">
        <v>106</v>
      </c>
      <c r="AM62">
        <v>2396000</v>
      </c>
      <c r="AN62">
        <v>0.1477</v>
      </c>
      <c r="AO62">
        <v>726</v>
      </c>
      <c r="AP62">
        <v>724</v>
      </c>
      <c r="AQ62" t="s">
        <v>100</v>
      </c>
      <c r="AR62" t="s">
        <v>149</v>
      </c>
      <c r="AS62">
        <v>1</v>
      </c>
      <c r="AT62">
        <v>2.5600000000000001E-2</v>
      </c>
      <c r="AU62">
        <v>0.51719999999999999</v>
      </c>
      <c r="AV62">
        <v>913760.73</v>
      </c>
      <c r="AW62">
        <v>12098.48</v>
      </c>
      <c r="AX62" t="b">
        <v>0</v>
      </c>
      <c r="AY62" t="b">
        <v>0</v>
      </c>
      <c r="AZ62" t="s">
        <v>80</v>
      </c>
      <c r="BA62">
        <v>0</v>
      </c>
      <c r="BB62">
        <v>0</v>
      </c>
      <c r="BC62">
        <v>0</v>
      </c>
      <c r="BD62">
        <v>0</v>
      </c>
      <c r="BE62" t="s">
        <v>108</v>
      </c>
      <c r="BF62" t="b">
        <v>1</v>
      </c>
    </row>
    <row r="63" spans="1:58" x14ac:dyDescent="0.3">
      <c r="A63" t="s">
        <v>284</v>
      </c>
      <c r="B63" t="s">
        <v>67</v>
      </c>
      <c r="C63" t="s">
        <v>285</v>
      </c>
      <c r="D63" t="s">
        <v>95</v>
      </c>
      <c r="E63" t="s">
        <v>96</v>
      </c>
      <c r="F63" t="s">
        <v>124</v>
      </c>
      <c r="G63" s="1">
        <v>44386</v>
      </c>
      <c r="H63" s="1">
        <v>45596</v>
      </c>
      <c r="I63" s="1">
        <v>46546</v>
      </c>
      <c r="J63">
        <v>691800</v>
      </c>
      <c r="K63">
        <v>72</v>
      </c>
      <c r="L63">
        <v>33</v>
      </c>
      <c r="M63">
        <v>39</v>
      </c>
      <c r="N63">
        <v>8.9600000000000009</v>
      </c>
      <c r="O63">
        <v>12456.34</v>
      </c>
      <c r="P63" t="s">
        <v>116</v>
      </c>
      <c r="Q63">
        <v>328507.12</v>
      </c>
      <c r="R63">
        <v>12456.34</v>
      </c>
      <c r="S63">
        <v>12833.54</v>
      </c>
      <c r="T63" s="1">
        <v>45566</v>
      </c>
      <c r="U63" t="s">
        <v>73</v>
      </c>
      <c r="V63">
        <v>0</v>
      </c>
      <c r="W63">
        <v>39</v>
      </c>
      <c r="X63">
        <v>39</v>
      </c>
      <c r="Y63">
        <v>0</v>
      </c>
      <c r="Z63">
        <v>0</v>
      </c>
      <c r="AA63">
        <v>0</v>
      </c>
      <c r="AB63" t="s">
        <v>97</v>
      </c>
      <c r="AC63" t="s">
        <v>98</v>
      </c>
      <c r="AD63">
        <v>2017</v>
      </c>
      <c r="AE63" t="s">
        <v>90</v>
      </c>
      <c r="AF63" t="b">
        <v>0</v>
      </c>
      <c r="AG63">
        <v>1039000</v>
      </c>
      <c r="AH63">
        <v>581670.98</v>
      </c>
      <c r="AI63">
        <v>0.66590000000000005</v>
      </c>
      <c r="AJ63">
        <v>0.59430000000000005</v>
      </c>
      <c r="AK63">
        <v>25</v>
      </c>
      <c r="AL63" t="s">
        <v>77</v>
      </c>
      <c r="AM63">
        <v>4705000</v>
      </c>
      <c r="AN63">
        <v>3.1800000000000002E-2</v>
      </c>
      <c r="AO63">
        <v>839</v>
      </c>
      <c r="AP63">
        <v>804</v>
      </c>
      <c r="AQ63" t="s">
        <v>127</v>
      </c>
      <c r="AR63" t="s">
        <v>153</v>
      </c>
      <c r="AS63">
        <v>1</v>
      </c>
      <c r="AT63">
        <v>2.0400000000000001E-2</v>
      </c>
      <c r="AU63">
        <v>0.45779999999999998</v>
      </c>
      <c r="AV63">
        <v>332803.36</v>
      </c>
      <c r="AW63">
        <v>3108.09</v>
      </c>
      <c r="AX63" t="b">
        <v>0</v>
      </c>
      <c r="AY63" t="b">
        <v>0</v>
      </c>
      <c r="AZ63" t="s">
        <v>80</v>
      </c>
      <c r="BA63">
        <v>0</v>
      </c>
      <c r="BB63">
        <v>0</v>
      </c>
      <c r="BC63">
        <v>0</v>
      </c>
      <c r="BD63">
        <v>0</v>
      </c>
      <c r="BE63" t="s">
        <v>81</v>
      </c>
      <c r="BF63" t="b">
        <v>1</v>
      </c>
    </row>
    <row r="64" spans="1:58" x14ac:dyDescent="0.3">
      <c r="A64" t="s">
        <v>286</v>
      </c>
      <c r="B64" t="s">
        <v>67</v>
      </c>
      <c r="C64" t="s">
        <v>287</v>
      </c>
      <c r="D64" t="s">
        <v>95</v>
      </c>
      <c r="E64" t="s">
        <v>96</v>
      </c>
      <c r="F64" t="s">
        <v>124</v>
      </c>
      <c r="G64" s="1">
        <v>44852</v>
      </c>
      <c r="H64" s="1">
        <v>45596</v>
      </c>
      <c r="I64" s="1">
        <v>46292</v>
      </c>
      <c r="J64">
        <v>560900</v>
      </c>
      <c r="K64">
        <v>48</v>
      </c>
      <c r="L64">
        <v>24</v>
      </c>
      <c r="M64">
        <v>24</v>
      </c>
      <c r="N64">
        <v>7.61</v>
      </c>
      <c r="O64">
        <v>13590.76</v>
      </c>
      <c r="P64" t="s">
        <v>72</v>
      </c>
      <c r="Q64">
        <v>275681.43</v>
      </c>
      <c r="R64">
        <v>13590.76</v>
      </c>
      <c r="S64">
        <v>14157.36</v>
      </c>
      <c r="T64" s="1">
        <v>45562</v>
      </c>
      <c r="U64" t="s">
        <v>73</v>
      </c>
      <c r="V64">
        <v>0</v>
      </c>
      <c r="W64">
        <v>24</v>
      </c>
      <c r="X64">
        <v>24</v>
      </c>
      <c r="Y64">
        <v>0</v>
      </c>
      <c r="Z64">
        <v>0</v>
      </c>
      <c r="AA64">
        <v>0</v>
      </c>
      <c r="AB64" t="s">
        <v>125</v>
      </c>
      <c r="AC64" t="s">
        <v>238</v>
      </c>
      <c r="AD64">
        <v>2022</v>
      </c>
      <c r="AE64" t="s">
        <v>99</v>
      </c>
      <c r="AF64" t="b">
        <v>1</v>
      </c>
      <c r="AG64">
        <v>828000</v>
      </c>
      <c r="AH64">
        <v>647348.68000000005</v>
      </c>
      <c r="AI64">
        <v>0.6774</v>
      </c>
      <c r="AJ64">
        <v>0.46760000000000002</v>
      </c>
      <c r="AK64">
        <v>61</v>
      </c>
      <c r="AL64" t="s">
        <v>120</v>
      </c>
      <c r="AM64">
        <v>1687000</v>
      </c>
      <c r="AN64">
        <v>9.6699999999999994E-2</v>
      </c>
      <c r="AO64">
        <v>700</v>
      </c>
      <c r="AP64">
        <v>692</v>
      </c>
      <c r="AQ64" t="s">
        <v>100</v>
      </c>
      <c r="AR64" t="s">
        <v>107</v>
      </c>
      <c r="AS64">
        <v>1</v>
      </c>
      <c r="AT64">
        <v>1.95E-2</v>
      </c>
      <c r="AU64">
        <v>0.56979999999999997</v>
      </c>
      <c r="AV64">
        <v>280535.84999999998</v>
      </c>
      <c r="AW64">
        <v>3117.06</v>
      </c>
      <c r="AX64" t="b">
        <v>0</v>
      </c>
      <c r="AY64" t="b">
        <v>0</v>
      </c>
      <c r="AZ64" t="s">
        <v>80</v>
      </c>
      <c r="BA64">
        <v>0</v>
      </c>
      <c r="BB64">
        <v>0</v>
      </c>
      <c r="BC64">
        <v>0</v>
      </c>
      <c r="BD64">
        <v>0</v>
      </c>
      <c r="BE64" t="s">
        <v>81</v>
      </c>
      <c r="BF64" t="b">
        <v>1</v>
      </c>
    </row>
    <row r="65" spans="1:58" x14ac:dyDescent="0.3">
      <c r="A65" t="s">
        <v>288</v>
      </c>
      <c r="B65" t="s">
        <v>67</v>
      </c>
      <c r="C65" t="s">
        <v>289</v>
      </c>
      <c r="D65" t="s">
        <v>95</v>
      </c>
      <c r="E65" t="s">
        <v>96</v>
      </c>
      <c r="F65" t="s">
        <v>115</v>
      </c>
      <c r="G65" s="1">
        <v>44317</v>
      </c>
      <c r="H65" s="1">
        <v>45596</v>
      </c>
      <c r="I65" s="1">
        <v>45397</v>
      </c>
      <c r="J65">
        <v>961500</v>
      </c>
      <c r="K65">
        <v>36</v>
      </c>
      <c r="L65">
        <v>0</v>
      </c>
      <c r="M65">
        <v>41</v>
      </c>
      <c r="N65">
        <v>10.39</v>
      </c>
      <c r="O65">
        <v>31201.25</v>
      </c>
      <c r="P65" t="s">
        <v>72</v>
      </c>
      <c r="Q65">
        <v>0</v>
      </c>
      <c r="R65">
        <v>31201.25</v>
      </c>
      <c r="S65">
        <v>31744.25</v>
      </c>
      <c r="T65" s="1">
        <v>45585</v>
      </c>
      <c r="U65" t="s">
        <v>73</v>
      </c>
      <c r="V65">
        <v>0</v>
      </c>
      <c r="W65">
        <v>41</v>
      </c>
      <c r="X65">
        <v>41</v>
      </c>
      <c r="Y65">
        <v>0</v>
      </c>
      <c r="Z65">
        <v>0</v>
      </c>
      <c r="AA65">
        <v>0</v>
      </c>
      <c r="AB65" t="s">
        <v>97</v>
      </c>
      <c r="AC65" t="s">
        <v>98</v>
      </c>
      <c r="AD65">
        <v>2021</v>
      </c>
      <c r="AE65" t="s">
        <v>99</v>
      </c>
      <c r="AF65" t="b">
        <v>1</v>
      </c>
      <c r="AG65">
        <v>1153000</v>
      </c>
      <c r="AH65">
        <v>539688.02</v>
      </c>
      <c r="AI65">
        <v>0.83389999999999997</v>
      </c>
      <c r="AJ65">
        <v>0</v>
      </c>
      <c r="AK65">
        <v>29</v>
      </c>
      <c r="AL65" t="s">
        <v>77</v>
      </c>
      <c r="AM65">
        <v>343000</v>
      </c>
      <c r="AN65">
        <v>1.0915999999999999</v>
      </c>
      <c r="AO65">
        <v>779</v>
      </c>
      <c r="AP65">
        <v>787</v>
      </c>
      <c r="AQ65" t="s">
        <v>91</v>
      </c>
      <c r="AR65" t="s">
        <v>92</v>
      </c>
      <c r="AS65">
        <v>1</v>
      </c>
      <c r="AT65">
        <v>1.4200000000000001E-2</v>
      </c>
      <c r="AU65">
        <v>0.56669999999999998</v>
      </c>
      <c r="AV65">
        <v>0</v>
      </c>
      <c r="AW65">
        <v>0</v>
      </c>
      <c r="AX65" t="b">
        <v>0</v>
      </c>
      <c r="AY65" t="b">
        <v>1</v>
      </c>
      <c r="AZ65" t="s">
        <v>290</v>
      </c>
      <c r="BA65">
        <v>0</v>
      </c>
      <c r="BB65">
        <v>0</v>
      </c>
      <c r="BC65">
        <v>0</v>
      </c>
      <c r="BD65">
        <v>0</v>
      </c>
      <c r="BE65" t="s">
        <v>108</v>
      </c>
      <c r="BF65" t="b">
        <v>1</v>
      </c>
    </row>
    <row r="66" spans="1:58" x14ac:dyDescent="0.3">
      <c r="A66" t="s">
        <v>291</v>
      </c>
      <c r="B66" t="s">
        <v>67</v>
      </c>
      <c r="C66" t="s">
        <v>292</v>
      </c>
      <c r="D66" t="s">
        <v>95</v>
      </c>
      <c r="E66" t="s">
        <v>96</v>
      </c>
      <c r="F66" t="s">
        <v>124</v>
      </c>
      <c r="G66" s="1">
        <v>44394</v>
      </c>
      <c r="H66" s="1">
        <v>45596</v>
      </c>
      <c r="I66" s="1">
        <v>46194</v>
      </c>
      <c r="J66">
        <v>1132300</v>
      </c>
      <c r="K66">
        <v>60</v>
      </c>
      <c r="L66">
        <v>21</v>
      </c>
      <c r="M66">
        <v>39</v>
      </c>
      <c r="N66">
        <v>13.06</v>
      </c>
      <c r="O66">
        <v>25798.1</v>
      </c>
      <c r="P66" t="s">
        <v>72</v>
      </c>
      <c r="Q66">
        <v>361371.86</v>
      </c>
      <c r="R66">
        <v>25798.1</v>
      </c>
      <c r="S66">
        <v>26879.43</v>
      </c>
      <c r="T66" s="1">
        <v>45582</v>
      </c>
      <c r="U66" t="s">
        <v>73</v>
      </c>
      <c r="V66">
        <v>0</v>
      </c>
      <c r="W66">
        <v>39</v>
      </c>
      <c r="X66">
        <v>39</v>
      </c>
      <c r="Y66">
        <v>0</v>
      </c>
      <c r="Z66">
        <v>0</v>
      </c>
      <c r="AA66">
        <v>0</v>
      </c>
      <c r="AB66" t="s">
        <v>97</v>
      </c>
      <c r="AC66" t="s">
        <v>98</v>
      </c>
      <c r="AD66">
        <v>2021</v>
      </c>
      <c r="AE66" t="s">
        <v>90</v>
      </c>
      <c r="AF66" t="b">
        <v>1</v>
      </c>
      <c r="AG66">
        <v>1279000</v>
      </c>
      <c r="AH66">
        <v>641156.02</v>
      </c>
      <c r="AI66">
        <v>0.88529999999999998</v>
      </c>
      <c r="AJ66">
        <v>0.53110000000000002</v>
      </c>
      <c r="AK66">
        <v>54</v>
      </c>
      <c r="AL66" t="s">
        <v>77</v>
      </c>
      <c r="AM66">
        <v>4954000</v>
      </c>
      <c r="AN66">
        <v>6.25E-2</v>
      </c>
      <c r="AO66">
        <v>707</v>
      </c>
      <c r="AP66">
        <v>695</v>
      </c>
      <c r="AQ66" t="s">
        <v>145</v>
      </c>
      <c r="AR66" t="s">
        <v>146</v>
      </c>
      <c r="AS66">
        <v>1</v>
      </c>
      <c r="AT66">
        <v>2.1700000000000001E-2</v>
      </c>
      <c r="AU66">
        <v>0.44940000000000002</v>
      </c>
      <c r="AV66">
        <v>379030.82</v>
      </c>
      <c r="AW66">
        <v>3696.3</v>
      </c>
      <c r="AX66" t="b">
        <v>0</v>
      </c>
      <c r="AY66" t="b">
        <v>0</v>
      </c>
      <c r="AZ66" t="s">
        <v>80</v>
      </c>
      <c r="BA66">
        <v>0</v>
      </c>
      <c r="BB66">
        <v>0</v>
      </c>
      <c r="BC66">
        <v>0</v>
      </c>
      <c r="BD66">
        <v>0</v>
      </c>
      <c r="BE66" t="s">
        <v>108</v>
      </c>
      <c r="BF66" t="b">
        <v>0</v>
      </c>
    </row>
    <row r="67" spans="1:58" x14ac:dyDescent="0.3">
      <c r="A67" t="s">
        <v>293</v>
      </c>
      <c r="B67" t="s">
        <v>67</v>
      </c>
      <c r="C67" t="s">
        <v>294</v>
      </c>
      <c r="D67" t="s">
        <v>95</v>
      </c>
      <c r="E67" t="s">
        <v>96</v>
      </c>
      <c r="F67" t="s">
        <v>115</v>
      </c>
      <c r="G67" s="1">
        <v>45357</v>
      </c>
      <c r="H67" s="1">
        <v>45596</v>
      </c>
      <c r="I67" s="1">
        <v>46437</v>
      </c>
      <c r="J67">
        <v>1320900</v>
      </c>
      <c r="K67">
        <v>36</v>
      </c>
      <c r="L67">
        <v>29</v>
      </c>
      <c r="M67">
        <v>7</v>
      </c>
      <c r="N67">
        <v>14.23</v>
      </c>
      <c r="O67">
        <v>45292.93</v>
      </c>
      <c r="P67" t="s">
        <v>139</v>
      </c>
      <c r="Q67">
        <v>1051348.6000000001</v>
      </c>
      <c r="R67">
        <v>45292.93</v>
      </c>
      <c r="S67">
        <v>44825.07</v>
      </c>
      <c r="T67" s="1">
        <v>45576</v>
      </c>
      <c r="U67" t="s">
        <v>73</v>
      </c>
      <c r="V67">
        <v>0</v>
      </c>
      <c r="W67">
        <v>7</v>
      </c>
      <c r="X67">
        <v>7</v>
      </c>
      <c r="Y67">
        <v>0</v>
      </c>
      <c r="Z67">
        <v>0</v>
      </c>
      <c r="AA67">
        <v>0</v>
      </c>
      <c r="AB67" t="s">
        <v>164</v>
      </c>
      <c r="AC67" t="s">
        <v>165</v>
      </c>
      <c r="AD67">
        <v>2023</v>
      </c>
      <c r="AE67" t="s">
        <v>119</v>
      </c>
      <c r="AF67" t="b">
        <v>0</v>
      </c>
      <c r="AG67">
        <v>2160000</v>
      </c>
      <c r="AH67">
        <v>1792427.23</v>
      </c>
      <c r="AI67">
        <v>0.61150000000000004</v>
      </c>
      <c r="AJ67">
        <v>0.53139999999999998</v>
      </c>
      <c r="AK67">
        <v>47</v>
      </c>
      <c r="AL67" t="s">
        <v>132</v>
      </c>
      <c r="AM67">
        <v>1866000</v>
      </c>
      <c r="AN67">
        <v>0.2913</v>
      </c>
      <c r="AO67">
        <v>795</v>
      </c>
      <c r="AP67">
        <v>794</v>
      </c>
      <c r="AQ67" t="s">
        <v>78</v>
      </c>
      <c r="AR67" t="s">
        <v>133</v>
      </c>
      <c r="AS67">
        <v>1</v>
      </c>
      <c r="AT67">
        <v>1.52E-2</v>
      </c>
      <c r="AU67">
        <v>0.41959999999999997</v>
      </c>
      <c r="AV67">
        <v>1055344.68</v>
      </c>
      <c r="AW67">
        <v>6730.9</v>
      </c>
      <c r="AX67" t="b">
        <v>0</v>
      </c>
      <c r="AY67" t="b">
        <v>0</v>
      </c>
      <c r="AZ67" t="s">
        <v>80</v>
      </c>
      <c r="BA67">
        <v>0</v>
      </c>
      <c r="BB67">
        <v>0</v>
      </c>
      <c r="BC67">
        <v>0</v>
      </c>
      <c r="BD67">
        <v>0</v>
      </c>
      <c r="BE67" t="s">
        <v>108</v>
      </c>
      <c r="BF67" t="b">
        <v>1</v>
      </c>
    </row>
    <row r="68" spans="1:58" x14ac:dyDescent="0.3">
      <c r="A68" t="s">
        <v>295</v>
      </c>
      <c r="B68" t="s">
        <v>67</v>
      </c>
      <c r="C68" t="s">
        <v>296</v>
      </c>
      <c r="D68" t="s">
        <v>95</v>
      </c>
      <c r="E68" t="s">
        <v>96</v>
      </c>
      <c r="F68" t="s">
        <v>124</v>
      </c>
      <c r="G68" s="1">
        <v>44756</v>
      </c>
      <c r="H68" s="1">
        <v>45596</v>
      </c>
      <c r="I68" s="1">
        <v>47276</v>
      </c>
      <c r="J68">
        <v>1303200</v>
      </c>
      <c r="K68">
        <v>84</v>
      </c>
      <c r="L68">
        <v>57</v>
      </c>
      <c r="M68">
        <v>27</v>
      </c>
      <c r="N68">
        <v>12.12</v>
      </c>
      <c r="O68">
        <v>23088.76</v>
      </c>
      <c r="P68" t="s">
        <v>72</v>
      </c>
      <c r="Q68">
        <v>807249.94</v>
      </c>
      <c r="R68">
        <v>23088.76</v>
      </c>
      <c r="S68">
        <v>23117.48</v>
      </c>
      <c r="T68" s="1">
        <v>45590</v>
      </c>
      <c r="U68" t="s">
        <v>73</v>
      </c>
      <c r="V68">
        <v>0</v>
      </c>
      <c r="W68">
        <v>27</v>
      </c>
      <c r="X68">
        <v>27</v>
      </c>
      <c r="Y68">
        <v>0</v>
      </c>
      <c r="Z68">
        <v>0</v>
      </c>
      <c r="AA68">
        <v>0</v>
      </c>
      <c r="AB68" t="s">
        <v>164</v>
      </c>
      <c r="AC68" t="s">
        <v>165</v>
      </c>
      <c r="AD68">
        <v>2022</v>
      </c>
      <c r="AE68" t="s">
        <v>90</v>
      </c>
      <c r="AF68" t="b">
        <v>1</v>
      </c>
      <c r="AG68">
        <v>1735000</v>
      </c>
      <c r="AH68">
        <v>1061734.31</v>
      </c>
      <c r="AI68">
        <v>0.75109999999999999</v>
      </c>
      <c r="AJ68">
        <v>0.68830000000000002</v>
      </c>
      <c r="AK68">
        <v>42</v>
      </c>
      <c r="AL68" t="s">
        <v>77</v>
      </c>
      <c r="AM68">
        <v>3652000</v>
      </c>
      <c r="AN68">
        <v>7.5899999999999995E-2</v>
      </c>
      <c r="AO68">
        <v>671</v>
      </c>
      <c r="AP68">
        <v>655</v>
      </c>
      <c r="AQ68" t="s">
        <v>100</v>
      </c>
      <c r="AR68" t="s">
        <v>107</v>
      </c>
      <c r="AS68">
        <v>1</v>
      </c>
      <c r="AT68">
        <v>1.83E-2</v>
      </c>
      <c r="AU68">
        <v>0.43090000000000001</v>
      </c>
      <c r="AV68">
        <v>812598.25</v>
      </c>
      <c r="AW68">
        <v>6407.72</v>
      </c>
      <c r="AX68" t="b">
        <v>0</v>
      </c>
      <c r="AY68" t="b">
        <v>0</v>
      </c>
      <c r="AZ68" t="s">
        <v>80</v>
      </c>
      <c r="BA68">
        <v>0</v>
      </c>
      <c r="BB68">
        <v>0</v>
      </c>
      <c r="BC68">
        <v>0</v>
      </c>
      <c r="BD68">
        <v>0</v>
      </c>
      <c r="BE68" t="s">
        <v>108</v>
      </c>
      <c r="BF68" t="b">
        <v>1</v>
      </c>
    </row>
    <row r="69" spans="1:58" x14ac:dyDescent="0.3">
      <c r="A69" t="s">
        <v>297</v>
      </c>
      <c r="B69" t="s">
        <v>67</v>
      </c>
      <c r="C69" t="s">
        <v>298</v>
      </c>
      <c r="D69" t="s">
        <v>69</v>
      </c>
      <c r="E69" t="s">
        <v>70</v>
      </c>
      <c r="F69" t="s">
        <v>86</v>
      </c>
      <c r="G69" s="1">
        <v>44921</v>
      </c>
      <c r="H69" s="1">
        <v>45596</v>
      </c>
      <c r="I69" s="1">
        <v>47081</v>
      </c>
      <c r="J69">
        <v>1892700</v>
      </c>
      <c r="K69">
        <v>72</v>
      </c>
      <c r="L69">
        <v>50</v>
      </c>
      <c r="M69">
        <v>22</v>
      </c>
      <c r="N69">
        <v>10.210000000000001</v>
      </c>
      <c r="O69">
        <v>35264.620000000003</v>
      </c>
      <c r="P69" t="s">
        <v>72</v>
      </c>
      <c r="Q69">
        <v>1199636.54</v>
      </c>
      <c r="R69">
        <v>35264.620000000003</v>
      </c>
      <c r="S69">
        <v>33979.19</v>
      </c>
      <c r="T69" s="1">
        <v>45596</v>
      </c>
      <c r="U69" t="s">
        <v>73</v>
      </c>
      <c r="V69">
        <v>0</v>
      </c>
      <c r="W69">
        <v>22</v>
      </c>
      <c r="X69">
        <v>22</v>
      </c>
      <c r="Y69">
        <v>0</v>
      </c>
      <c r="Z69">
        <v>0</v>
      </c>
      <c r="AA69">
        <v>0</v>
      </c>
      <c r="AB69" t="s">
        <v>97</v>
      </c>
      <c r="AC69" t="s">
        <v>98</v>
      </c>
      <c r="AD69">
        <v>2022</v>
      </c>
      <c r="AE69" t="s">
        <v>119</v>
      </c>
      <c r="AF69" t="b">
        <v>1</v>
      </c>
      <c r="AG69">
        <v>3132000</v>
      </c>
      <c r="AH69">
        <v>2512073.2599999998</v>
      </c>
      <c r="AI69">
        <v>0.60429999999999995</v>
      </c>
      <c r="AJ69">
        <v>0.52039999999999997</v>
      </c>
      <c r="AK69">
        <v>38</v>
      </c>
      <c r="AL69" t="s">
        <v>77</v>
      </c>
      <c r="AM69">
        <v>3521000</v>
      </c>
      <c r="AN69">
        <v>0.1202</v>
      </c>
      <c r="AO69">
        <v>693</v>
      </c>
      <c r="AP69">
        <v>660</v>
      </c>
      <c r="AQ69" t="s">
        <v>91</v>
      </c>
      <c r="AR69" t="s">
        <v>192</v>
      </c>
      <c r="AS69">
        <v>1</v>
      </c>
      <c r="AT69">
        <v>1.7000000000000001E-2</v>
      </c>
      <c r="AU69">
        <v>0.42399999999999999</v>
      </c>
      <c r="AV69">
        <v>1237127.2</v>
      </c>
      <c r="AW69">
        <v>8917.2099999999991</v>
      </c>
      <c r="AX69" t="b">
        <v>0</v>
      </c>
      <c r="AY69" t="b">
        <v>0</v>
      </c>
      <c r="AZ69" t="s">
        <v>80</v>
      </c>
      <c r="BA69">
        <v>0</v>
      </c>
      <c r="BB69">
        <v>0</v>
      </c>
      <c r="BC69">
        <v>0</v>
      </c>
      <c r="BD69">
        <v>0</v>
      </c>
      <c r="BE69" t="s">
        <v>81</v>
      </c>
      <c r="BF69" t="b">
        <v>1</v>
      </c>
    </row>
    <row r="70" spans="1:58" x14ac:dyDescent="0.3">
      <c r="A70" t="s">
        <v>299</v>
      </c>
      <c r="B70" t="s">
        <v>67</v>
      </c>
      <c r="C70" t="s">
        <v>300</v>
      </c>
      <c r="D70" t="s">
        <v>95</v>
      </c>
      <c r="E70" t="s">
        <v>96</v>
      </c>
      <c r="F70" t="s">
        <v>86</v>
      </c>
      <c r="G70" s="1">
        <v>44877</v>
      </c>
      <c r="H70" s="1">
        <v>45596</v>
      </c>
      <c r="I70" s="1">
        <v>47397</v>
      </c>
      <c r="J70">
        <v>1493200</v>
      </c>
      <c r="K70">
        <v>84</v>
      </c>
      <c r="L70">
        <v>61</v>
      </c>
      <c r="M70">
        <v>23</v>
      </c>
      <c r="N70">
        <v>8.4499999999999993</v>
      </c>
      <c r="O70">
        <v>23609.51</v>
      </c>
      <c r="P70" t="s">
        <v>72</v>
      </c>
      <c r="Q70">
        <v>1028069.73</v>
      </c>
      <c r="R70">
        <v>23609.51</v>
      </c>
      <c r="S70">
        <v>22492.58</v>
      </c>
      <c r="T70" s="1">
        <v>45567</v>
      </c>
      <c r="U70" t="s">
        <v>73</v>
      </c>
      <c r="V70">
        <v>0</v>
      </c>
      <c r="W70">
        <v>23</v>
      </c>
      <c r="X70">
        <v>23</v>
      </c>
      <c r="Y70">
        <v>0</v>
      </c>
      <c r="Z70">
        <v>0</v>
      </c>
      <c r="AA70">
        <v>0</v>
      </c>
      <c r="AB70" t="s">
        <v>104</v>
      </c>
      <c r="AC70" t="s">
        <v>156</v>
      </c>
      <c r="AD70">
        <v>2022</v>
      </c>
      <c r="AE70" t="s">
        <v>119</v>
      </c>
      <c r="AF70" t="b">
        <v>1</v>
      </c>
      <c r="AG70">
        <v>1989000</v>
      </c>
      <c r="AH70">
        <v>1567615.97</v>
      </c>
      <c r="AI70">
        <v>0.75070000000000003</v>
      </c>
      <c r="AJ70">
        <v>0.71389999999999998</v>
      </c>
      <c r="AK70">
        <v>35</v>
      </c>
      <c r="AL70" t="s">
        <v>120</v>
      </c>
      <c r="AM70">
        <v>1777000</v>
      </c>
      <c r="AN70">
        <v>0.15939999999999999</v>
      </c>
      <c r="AO70">
        <v>751</v>
      </c>
      <c r="AP70">
        <v>741</v>
      </c>
      <c r="AQ70" t="s">
        <v>91</v>
      </c>
      <c r="AR70" t="s">
        <v>252</v>
      </c>
      <c r="AS70">
        <v>1</v>
      </c>
      <c r="AT70">
        <v>1.54E-2</v>
      </c>
      <c r="AU70">
        <v>0.51919999999999999</v>
      </c>
      <c r="AV70">
        <v>1058512.26</v>
      </c>
      <c r="AW70">
        <v>8463.5300000000007</v>
      </c>
      <c r="AX70" t="b">
        <v>0</v>
      </c>
      <c r="AY70" t="b">
        <v>0</v>
      </c>
      <c r="AZ70" t="s">
        <v>80</v>
      </c>
      <c r="BA70">
        <v>0</v>
      </c>
      <c r="BB70">
        <v>0</v>
      </c>
      <c r="BC70">
        <v>0</v>
      </c>
      <c r="BD70">
        <v>0</v>
      </c>
      <c r="BE70" t="s">
        <v>108</v>
      </c>
      <c r="BF70" t="b">
        <v>1</v>
      </c>
    </row>
    <row r="71" spans="1:58" x14ac:dyDescent="0.3">
      <c r="A71" t="s">
        <v>301</v>
      </c>
      <c r="B71" t="s">
        <v>67</v>
      </c>
      <c r="C71" t="s">
        <v>302</v>
      </c>
      <c r="D71" t="s">
        <v>95</v>
      </c>
      <c r="E71" t="s">
        <v>96</v>
      </c>
      <c r="F71" t="s">
        <v>115</v>
      </c>
      <c r="G71" s="1">
        <v>44626</v>
      </c>
      <c r="H71" s="1">
        <v>45596</v>
      </c>
      <c r="I71" s="1">
        <v>46786</v>
      </c>
      <c r="J71">
        <v>918900</v>
      </c>
      <c r="K71">
        <v>72</v>
      </c>
      <c r="L71">
        <v>41</v>
      </c>
      <c r="M71">
        <v>31</v>
      </c>
      <c r="N71">
        <v>12.21</v>
      </c>
      <c r="O71">
        <v>18065.18</v>
      </c>
      <c r="P71" t="s">
        <v>72</v>
      </c>
      <c r="Q71">
        <v>481860.33</v>
      </c>
      <c r="R71">
        <v>18065.18</v>
      </c>
      <c r="S71">
        <v>18938.830000000002</v>
      </c>
      <c r="T71" s="1">
        <v>45571</v>
      </c>
      <c r="U71" t="s">
        <v>73</v>
      </c>
      <c r="V71">
        <v>0</v>
      </c>
      <c r="W71">
        <v>31</v>
      </c>
      <c r="X71">
        <v>31</v>
      </c>
      <c r="Y71">
        <v>0</v>
      </c>
      <c r="Z71">
        <v>0</v>
      </c>
      <c r="AA71">
        <v>0</v>
      </c>
      <c r="AB71" t="s">
        <v>164</v>
      </c>
      <c r="AC71" t="s">
        <v>165</v>
      </c>
      <c r="AD71">
        <v>2022</v>
      </c>
      <c r="AE71" t="s">
        <v>99</v>
      </c>
      <c r="AF71" t="b">
        <v>1</v>
      </c>
      <c r="AG71">
        <v>1046000</v>
      </c>
      <c r="AH71">
        <v>718216.53</v>
      </c>
      <c r="AI71">
        <v>0.87849999999999995</v>
      </c>
      <c r="AJ71">
        <v>0.73360000000000003</v>
      </c>
      <c r="AK71">
        <v>39</v>
      </c>
      <c r="AL71" t="s">
        <v>106</v>
      </c>
      <c r="AM71">
        <v>3747000</v>
      </c>
      <c r="AN71">
        <v>5.79E-2</v>
      </c>
      <c r="AO71">
        <v>746</v>
      </c>
      <c r="AP71">
        <v>705</v>
      </c>
      <c r="AQ71" t="s">
        <v>127</v>
      </c>
      <c r="AR71" t="s">
        <v>215</v>
      </c>
      <c r="AS71">
        <v>1</v>
      </c>
      <c r="AT71">
        <v>1.5299999999999999E-2</v>
      </c>
      <c r="AU71">
        <v>0.42449999999999999</v>
      </c>
      <c r="AV71">
        <v>497874.81</v>
      </c>
      <c r="AW71">
        <v>3233.62</v>
      </c>
      <c r="AX71" t="b">
        <v>0</v>
      </c>
      <c r="AY71" t="b">
        <v>0</v>
      </c>
      <c r="AZ71" t="s">
        <v>80</v>
      </c>
      <c r="BA71">
        <v>0</v>
      </c>
      <c r="BB71">
        <v>0</v>
      </c>
      <c r="BC71">
        <v>0</v>
      </c>
      <c r="BD71">
        <v>0</v>
      </c>
      <c r="BE71" t="s">
        <v>108</v>
      </c>
      <c r="BF71" t="b">
        <v>1</v>
      </c>
    </row>
    <row r="72" spans="1:58" x14ac:dyDescent="0.3">
      <c r="A72" t="s">
        <v>303</v>
      </c>
      <c r="B72" t="s">
        <v>67</v>
      </c>
      <c r="C72" t="s">
        <v>304</v>
      </c>
      <c r="D72" t="s">
        <v>69</v>
      </c>
      <c r="E72" t="s">
        <v>70</v>
      </c>
      <c r="F72" t="s">
        <v>124</v>
      </c>
      <c r="G72" s="1">
        <v>44876</v>
      </c>
      <c r="H72" s="1">
        <v>45596</v>
      </c>
      <c r="I72" s="1">
        <v>47036</v>
      </c>
      <c r="J72">
        <v>692300</v>
      </c>
      <c r="K72">
        <v>72</v>
      </c>
      <c r="L72">
        <v>49</v>
      </c>
      <c r="M72">
        <v>23</v>
      </c>
      <c r="N72">
        <v>10.119999999999999</v>
      </c>
      <c r="O72">
        <v>12867.37</v>
      </c>
      <c r="P72" t="s">
        <v>116</v>
      </c>
      <c r="Q72">
        <v>456759.49</v>
      </c>
      <c r="R72">
        <v>12867.37</v>
      </c>
      <c r="S72">
        <v>13266.5</v>
      </c>
      <c r="T72" s="1">
        <v>45589</v>
      </c>
      <c r="U72" t="s">
        <v>73</v>
      </c>
      <c r="V72">
        <v>0</v>
      </c>
      <c r="W72">
        <v>23</v>
      </c>
      <c r="X72">
        <v>23</v>
      </c>
      <c r="Y72">
        <v>0</v>
      </c>
      <c r="Z72">
        <v>0</v>
      </c>
      <c r="AA72">
        <v>0</v>
      </c>
      <c r="AB72" t="s">
        <v>174</v>
      </c>
      <c r="AC72" t="s">
        <v>305</v>
      </c>
      <c r="AD72">
        <v>2019</v>
      </c>
      <c r="AE72" t="s">
        <v>76</v>
      </c>
      <c r="AF72" t="b">
        <v>0</v>
      </c>
      <c r="AG72">
        <v>862000</v>
      </c>
      <c r="AH72">
        <v>564498.22</v>
      </c>
      <c r="AI72">
        <v>0.80320000000000003</v>
      </c>
      <c r="AJ72">
        <v>0.7319</v>
      </c>
      <c r="AK72">
        <v>60</v>
      </c>
      <c r="AL72" t="s">
        <v>77</v>
      </c>
      <c r="AM72">
        <v>1921000</v>
      </c>
      <c r="AN72">
        <v>8.0399999999999999E-2</v>
      </c>
      <c r="AO72">
        <v>656</v>
      </c>
      <c r="AP72">
        <v>667</v>
      </c>
      <c r="AQ72" t="s">
        <v>145</v>
      </c>
      <c r="AR72" t="s">
        <v>157</v>
      </c>
      <c r="AS72">
        <v>1</v>
      </c>
      <c r="AT72">
        <v>1.8200000000000001E-2</v>
      </c>
      <c r="AU72">
        <v>0.37930000000000003</v>
      </c>
      <c r="AV72">
        <v>473248.37</v>
      </c>
      <c r="AW72">
        <v>3266.96</v>
      </c>
      <c r="AX72" t="b">
        <v>0</v>
      </c>
      <c r="AY72" t="b">
        <v>0</v>
      </c>
      <c r="AZ72" t="s">
        <v>80</v>
      </c>
      <c r="BA72">
        <v>0</v>
      </c>
      <c r="BB72">
        <v>0</v>
      </c>
      <c r="BC72">
        <v>0</v>
      </c>
      <c r="BD72">
        <v>0</v>
      </c>
      <c r="BE72" t="s">
        <v>81</v>
      </c>
      <c r="BF72" t="b">
        <v>1</v>
      </c>
    </row>
    <row r="73" spans="1:58" x14ac:dyDescent="0.3">
      <c r="A73" t="s">
        <v>306</v>
      </c>
      <c r="B73" t="s">
        <v>67</v>
      </c>
      <c r="C73" t="s">
        <v>307</v>
      </c>
      <c r="D73" t="s">
        <v>69</v>
      </c>
      <c r="E73" t="s">
        <v>70</v>
      </c>
      <c r="F73" t="s">
        <v>86</v>
      </c>
      <c r="G73" s="1">
        <v>44899</v>
      </c>
      <c r="H73" s="1">
        <v>45596</v>
      </c>
      <c r="I73" s="1">
        <v>46699</v>
      </c>
      <c r="J73">
        <v>1048600</v>
      </c>
      <c r="K73">
        <v>60</v>
      </c>
      <c r="L73">
        <v>38</v>
      </c>
      <c r="M73">
        <v>22</v>
      </c>
      <c r="N73">
        <v>11.42</v>
      </c>
      <c r="O73">
        <v>23019.360000000001</v>
      </c>
      <c r="P73" t="s">
        <v>72</v>
      </c>
      <c r="Q73">
        <v>693181.17</v>
      </c>
      <c r="R73">
        <v>23019.360000000001</v>
      </c>
      <c r="S73">
        <v>22298.76</v>
      </c>
      <c r="T73" s="1">
        <v>45576</v>
      </c>
      <c r="U73" t="s">
        <v>73</v>
      </c>
      <c r="V73">
        <v>0</v>
      </c>
      <c r="W73">
        <v>22</v>
      </c>
      <c r="X73">
        <v>22</v>
      </c>
      <c r="Y73">
        <v>0</v>
      </c>
      <c r="Z73">
        <v>0</v>
      </c>
      <c r="AA73">
        <v>0</v>
      </c>
      <c r="AB73" t="s">
        <v>74</v>
      </c>
      <c r="AC73" t="s">
        <v>212</v>
      </c>
      <c r="AD73">
        <v>2022</v>
      </c>
      <c r="AE73" t="s">
        <v>76</v>
      </c>
      <c r="AF73" t="b">
        <v>1</v>
      </c>
      <c r="AG73">
        <v>1322000</v>
      </c>
      <c r="AH73">
        <v>914043.14</v>
      </c>
      <c r="AI73">
        <v>0.79320000000000002</v>
      </c>
      <c r="AJ73">
        <v>0.71240000000000003</v>
      </c>
      <c r="AK73">
        <v>48</v>
      </c>
      <c r="AL73" t="s">
        <v>77</v>
      </c>
      <c r="AM73">
        <v>1176000</v>
      </c>
      <c r="AN73">
        <v>0.2349</v>
      </c>
      <c r="AO73">
        <v>818</v>
      </c>
      <c r="AP73">
        <v>823</v>
      </c>
      <c r="AQ73" t="s">
        <v>127</v>
      </c>
      <c r="AR73" t="s">
        <v>128</v>
      </c>
      <c r="AS73">
        <v>1</v>
      </c>
      <c r="AT73">
        <v>2.3E-2</v>
      </c>
      <c r="AU73">
        <v>0.59260000000000002</v>
      </c>
      <c r="AV73">
        <v>695349.57</v>
      </c>
      <c r="AW73">
        <v>9477.48</v>
      </c>
      <c r="AX73" t="b">
        <v>0</v>
      </c>
      <c r="AY73" t="b">
        <v>0</v>
      </c>
      <c r="AZ73" t="s">
        <v>80</v>
      </c>
      <c r="BA73">
        <v>0</v>
      </c>
      <c r="BB73">
        <v>0</v>
      </c>
      <c r="BC73">
        <v>0</v>
      </c>
      <c r="BD73">
        <v>0</v>
      </c>
      <c r="BE73" t="s">
        <v>108</v>
      </c>
      <c r="BF73" t="b">
        <v>0</v>
      </c>
    </row>
    <row r="74" spans="1:58" x14ac:dyDescent="0.3">
      <c r="A74" t="s">
        <v>308</v>
      </c>
      <c r="B74" t="s">
        <v>67</v>
      </c>
      <c r="C74" t="s">
        <v>309</v>
      </c>
      <c r="D74" t="s">
        <v>84</v>
      </c>
      <c r="E74" t="s">
        <v>85</v>
      </c>
      <c r="F74" t="s">
        <v>124</v>
      </c>
      <c r="G74" s="1">
        <v>44430</v>
      </c>
      <c r="H74" s="1">
        <v>45596</v>
      </c>
      <c r="I74" s="1">
        <v>46590</v>
      </c>
      <c r="J74">
        <v>1251200</v>
      </c>
      <c r="K74">
        <v>72</v>
      </c>
      <c r="L74">
        <v>34</v>
      </c>
      <c r="M74">
        <v>38</v>
      </c>
      <c r="N74">
        <v>11.78</v>
      </c>
      <c r="O74">
        <v>24318.29</v>
      </c>
      <c r="P74" t="s">
        <v>72</v>
      </c>
      <c r="Q74">
        <v>583784.27</v>
      </c>
      <c r="R74">
        <v>24318.29</v>
      </c>
      <c r="S74">
        <v>25337.62</v>
      </c>
      <c r="T74" s="1">
        <v>45585</v>
      </c>
      <c r="U74" t="s">
        <v>73</v>
      </c>
      <c r="V74">
        <v>0</v>
      </c>
      <c r="W74">
        <v>38</v>
      </c>
      <c r="X74">
        <v>38</v>
      </c>
      <c r="Y74">
        <v>0</v>
      </c>
      <c r="Z74">
        <v>0</v>
      </c>
      <c r="AA74">
        <v>0</v>
      </c>
      <c r="AB74" t="s">
        <v>88</v>
      </c>
      <c r="AC74" t="s">
        <v>181</v>
      </c>
      <c r="AD74">
        <v>2021</v>
      </c>
      <c r="AE74" t="s">
        <v>90</v>
      </c>
      <c r="AF74" t="b">
        <v>1</v>
      </c>
      <c r="AG74">
        <v>1763000</v>
      </c>
      <c r="AH74">
        <v>969605.02</v>
      </c>
      <c r="AI74">
        <v>0.7097</v>
      </c>
      <c r="AJ74">
        <v>0.60870000000000002</v>
      </c>
      <c r="AK74">
        <v>47</v>
      </c>
      <c r="AL74" t="s">
        <v>120</v>
      </c>
      <c r="AM74">
        <v>3202000</v>
      </c>
      <c r="AN74">
        <v>9.11E-2</v>
      </c>
      <c r="AO74">
        <v>822</v>
      </c>
      <c r="AP74">
        <v>810</v>
      </c>
      <c r="AQ74" t="s">
        <v>78</v>
      </c>
      <c r="AR74" t="s">
        <v>79</v>
      </c>
      <c r="AS74">
        <v>1</v>
      </c>
      <c r="AT74">
        <v>1.9E-2</v>
      </c>
      <c r="AU74">
        <v>0.39140000000000003</v>
      </c>
      <c r="AV74">
        <v>594984.46</v>
      </c>
      <c r="AW74">
        <v>4424.66</v>
      </c>
      <c r="AX74" t="b">
        <v>0</v>
      </c>
      <c r="AY74" t="b">
        <v>0</v>
      </c>
      <c r="AZ74" t="s">
        <v>80</v>
      </c>
      <c r="BA74">
        <v>0</v>
      </c>
      <c r="BB74">
        <v>0</v>
      </c>
      <c r="BC74">
        <v>0</v>
      </c>
      <c r="BD74">
        <v>0</v>
      </c>
      <c r="BE74" t="s">
        <v>108</v>
      </c>
      <c r="BF74" t="b">
        <v>1</v>
      </c>
    </row>
    <row r="75" spans="1:58" x14ac:dyDescent="0.3">
      <c r="A75" t="s">
        <v>310</v>
      </c>
      <c r="B75" t="s">
        <v>67</v>
      </c>
      <c r="C75" t="s">
        <v>311</v>
      </c>
      <c r="D75" t="s">
        <v>84</v>
      </c>
      <c r="E75" t="s">
        <v>85</v>
      </c>
      <c r="F75" t="s">
        <v>86</v>
      </c>
      <c r="G75" s="1">
        <v>45199</v>
      </c>
      <c r="H75" s="1">
        <v>45596</v>
      </c>
      <c r="I75" s="1">
        <v>46279</v>
      </c>
      <c r="J75">
        <v>2232000</v>
      </c>
      <c r="K75">
        <v>36</v>
      </c>
      <c r="L75">
        <v>23</v>
      </c>
      <c r="M75">
        <v>13</v>
      </c>
      <c r="N75">
        <v>10.89</v>
      </c>
      <c r="O75">
        <v>72956.600000000006</v>
      </c>
      <c r="P75" t="s">
        <v>72</v>
      </c>
      <c r="Q75">
        <v>1325137.98</v>
      </c>
      <c r="R75">
        <v>72956.600000000006</v>
      </c>
      <c r="S75">
        <v>73487.100000000006</v>
      </c>
      <c r="T75" s="1">
        <v>45579</v>
      </c>
      <c r="U75" t="s">
        <v>73</v>
      </c>
      <c r="V75">
        <v>0</v>
      </c>
      <c r="W75">
        <v>13</v>
      </c>
      <c r="X75">
        <v>13</v>
      </c>
      <c r="Y75">
        <v>0</v>
      </c>
      <c r="Z75">
        <v>0</v>
      </c>
      <c r="AA75">
        <v>0</v>
      </c>
      <c r="AB75" t="s">
        <v>88</v>
      </c>
      <c r="AC75" t="s">
        <v>89</v>
      </c>
      <c r="AD75">
        <v>2023</v>
      </c>
      <c r="AE75" t="s">
        <v>166</v>
      </c>
      <c r="AF75" t="b">
        <v>1</v>
      </c>
      <c r="AG75">
        <v>2472000</v>
      </c>
      <c r="AH75">
        <v>2201165.4</v>
      </c>
      <c r="AI75">
        <v>0.90290000000000004</v>
      </c>
      <c r="AJ75">
        <v>0.6351</v>
      </c>
      <c r="AK75">
        <v>58</v>
      </c>
      <c r="AL75" t="s">
        <v>120</v>
      </c>
      <c r="AM75">
        <v>2223000</v>
      </c>
      <c r="AN75">
        <v>0.39379999999999998</v>
      </c>
      <c r="AO75">
        <v>775</v>
      </c>
      <c r="AP75">
        <v>778</v>
      </c>
      <c r="AQ75" t="s">
        <v>127</v>
      </c>
      <c r="AR75" t="s">
        <v>215</v>
      </c>
      <c r="AS75">
        <v>1</v>
      </c>
      <c r="AT75">
        <v>1.6E-2</v>
      </c>
      <c r="AU75">
        <v>0.48720000000000002</v>
      </c>
      <c r="AV75">
        <v>1374334.94</v>
      </c>
      <c r="AW75">
        <v>10713.22</v>
      </c>
      <c r="AX75" t="b">
        <v>0</v>
      </c>
      <c r="AY75" t="b">
        <v>0</v>
      </c>
      <c r="AZ75" t="s">
        <v>80</v>
      </c>
      <c r="BA75">
        <v>0</v>
      </c>
      <c r="BB75">
        <v>0</v>
      </c>
      <c r="BC75">
        <v>0</v>
      </c>
      <c r="BD75">
        <v>0</v>
      </c>
      <c r="BE75" t="s">
        <v>81</v>
      </c>
      <c r="BF75" t="b">
        <v>1</v>
      </c>
    </row>
    <row r="76" spans="1:58" x14ac:dyDescent="0.3">
      <c r="A76" t="s">
        <v>312</v>
      </c>
      <c r="B76" t="s">
        <v>67</v>
      </c>
      <c r="C76" t="s">
        <v>313</v>
      </c>
      <c r="D76" t="s">
        <v>84</v>
      </c>
      <c r="E76" t="s">
        <v>85</v>
      </c>
      <c r="F76" t="s">
        <v>71</v>
      </c>
      <c r="G76" s="1">
        <v>44948</v>
      </c>
      <c r="H76" s="1">
        <v>45596</v>
      </c>
      <c r="I76" s="1">
        <v>46028</v>
      </c>
      <c r="J76">
        <v>2153100</v>
      </c>
      <c r="K76">
        <v>36</v>
      </c>
      <c r="L76">
        <v>15</v>
      </c>
      <c r="M76">
        <v>21</v>
      </c>
      <c r="N76">
        <v>12.65</v>
      </c>
      <c r="O76">
        <v>72184.009999999995</v>
      </c>
      <c r="P76" t="s">
        <v>72</v>
      </c>
      <c r="Q76">
        <v>895376.28</v>
      </c>
      <c r="R76">
        <v>72184.009999999995</v>
      </c>
      <c r="S76">
        <v>72463.86</v>
      </c>
      <c r="T76" s="1">
        <v>45576</v>
      </c>
      <c r="U76" t="s">
        <v>73</v>
      </c>
      <c r="V76">
        <v>0</v>
      </c>
      <c r="W76">
        <v>21</v>
      </c>
      <c r="X76">
        <v>21</v>
      </c>
      <c r="Y76">
        <v>0</v>
      </c>
      <c r="Z76">
        <v>0</v>
      </c>
      <c r="AA76">
        <v>0</v>
      </c>
      <c r="AB76" t="s">
        <v>97</v>
      </c>
      <c r="AC76" t="s">
        <v>98</v>
      </c>
      <c r="AD76">
        <v>2023</v>
      </c>
      <c r="AE76" t="s">
        <v>166</v>
      </c>
      <c r="AF76" t="b">
        <v>1</v>
      </c>
      <c r="AG76">
        <v>2275000</v>
      </c>
      <c r="AH76">
        <v>1864722.91</v>
      </c>
      <c r="AI76">
        <v>0.94640000000000002</v>
      </c>
      <c r="AJ76">
        <v>0.5262</v>
      </c>
      <c r="AK76">
        <v>42</v>
      </c>
      <c r="AL76" t="s">
        <v>132</v>
      </c>
      <c r="AM76">
        <v>1306000</v>
      </c>
      <c r="AN76">
        <v>0.6633</v>
      </c>
      <c r="AO76">
        <v>672</v>
      </c>
      <c r="AP76">
        <v>678</v>
      </c>
      <c r="AQ76" t="s">
        <v>145</v>
      </c>
      <c r="AR76" t="s">
        <v>176</v>
      </c>
      <c r="AS76">
        <v>1</v>
      </c>
      <c r="AT76">
        <v>2.3400000000000001E-2</v>
      </c>
      <c r="AU76">
        <v>0.59409999999999996</v>
      </c>
      <c r="AV76">
        <v>931434.9</v>
      </c>
      <c r="AW76">
        <v>12948.75</v>
      </c>
      <c r="AX76" t="b">
        <v>0</v>
      </c>
      <c r="AY76" t="b">
        <v>0</v>
      </c>
      <c r="AZ76" t="s">
        <v>80</v>
      </c>
      <c r="BA76">
        <v>0</v>
      </c>
      <c r="BB76">
        <v>0</v>
      </c>
      <c r="BC76">
        <v>0</v>
      </c>
      <c r="BD76">
        <v>0</v>
      </c>
      <c r="BE76" t="s">
        <v>108</v>
      </c>
      <c r="BF76" t="b">
        <v>1</v>
      </c>
    </row>
    <row r="77" spans="1:58" x14ac:dyDescent="0.3">
      <c r="A77" t="s">
        <v>314</v>
      </c>
      <c r="B77" t="s">
        <v>67</v>
      </c>
      <c r="C77" t="s">
        <v>315</v>
      </c>
      <c r="D77" t="s">
        <v>95</v>
      </c>
      <c r="E77" t="s">
        <v>96</v>
      </c>
      <c r="F77" t="s">
        <v>124</v>
      </c>
      <c r="G77" s="1">
        <v>44796</v>
      </c>
      <c r="H77" s="1">
        <v>45596</v>
      </c>
      <c r="I77" s="1">
        <v>45876</v>
      </c>
      <c r="J77">
        <v>1494600</v>
      </c>
      <c r="K77">
        <v>36</v>
      </c>
      <c r="L77">
        <v>10</v>
      </c>
      <c r="M77">
        <v>26</v>
      </c>
      <c r="N77">
        <v>8.4499999999999993</v>
      </c>
      <c r="O77">
        <v>47146.22</v>
      </c>
      <c r="P77" t="s">
        <v>72</v>
      </c>
      <c r="Q77">
        <v>420362.11</v>
      </c>
      <c r="R77">
        <v>47146.22</v>
      </c>
      <c r="S77">
        <v>26202.12</v>
      </c>
      <c r="T77" s="1">
        <v>45573</v>
      </c>
      <c r="U77" t="s">
        <v>87</v>
      </c>
      <c r="V77">
        <v>25</v>
      </c>
      <c r="W77">
        <v>26</v>
      </c>
      <c r="X77">
        <v>25</v>
      </c>
      <c r="Y77">
        <v>2</v>
      </c>
      <c r="Z77">
        <v>0</v>
      </c>
      <c r="AA77">
        <v>0</v>
      </c>
      <c r="AB77" t="s">
        <v>88</v>
      </c>
      <c r="AC77" t="s">
        <v>181</v>
      </c>
      <c r="AD77">
        <v>2022</v>
      </c>
      <c r="AE77" t="s">
        <v>90</v>
      </c>
      <c r="AF77" t="b">
        <v>1</v>
      </c>
      <c r="AG77">
        <v>1784000</v>
      </c>
      <c r="AH77">
        <v>1216270.76</v>
      </c>
      <c r="AI77">
        <v>0.83779999999999999</v>
      </c>
      <c r="AJ77">
        <v>0.34250000000000003</v>
      </c>
      <c r="AK77">
        <v>27</v>
      </c>
      <c r="AL77" t="s">
        <v>106</v>
      </c>
      <c r="AM77">
        <v>1158000</v>
      </c>
      <c r="AN77">
        <v>0.48859999999999998</v>
      </c>
      <c r="AO77">
        <v>683</v>
      </c>
      <c r="AP77">
        <v>664</v>
      </c>
      <c r="AQ77" t="s">
        <v>100</v>
      </c>
      <c r="AR77" t="s">
        <v>101</v>
      </c>
      <c r="AS77">
        <v>1</v>
      </c>
      <c r="AT77">
        <v>1.49E-2</v>
      </c>
      <c r="AU77">
        <v>0.58840000000000003</v>
      </c>
      <c r="AV77">
        <v>436522.6</v>
      </c>
      <c r="AW77">
        <v>3827.06</v>
      </c>
      <c r="AX77" t="b">
        <v>0</v>
      </c>
      <c r="AY77" t="b">
        <v>0</v>
      </c>
      <c r="AZ77" t="s">
        <v>80</v>
      </c>
      <c r="BA77">
        <v>0</v>
      </c>
      <c r="BB77">
        <v>0</v>
      </c>
      <c r="BC77">
        <v>0</v>
      </c>
      <c r="BD77">
        <v>0</v>
      </c>
      <c r="BE77" t="s">
        <v>108</v>
      </c>
      <c r="BF77" t="b">
        <v>0</v>
      </c>
    </row>
    <row r="78" spans="1:58" x14ac:dyDescent="0.3">
      <c r="A78" t="s">
        <v>316</v>
      </c>
      <c r="B78" t="s">
        <v>67</v>
      </c>
      <c r="C78" t="s">
        <v>317</v>
      </c>
      <c r="D78" t="s">
        <v>69</v>
      </c>
      <c r="E78" t="s">
        <v>70</v>
      </c>
      <c r="F78" t="s">
        <v>115</v>
      </c>
      <c r="G78" s="1">
        <v>45196</v>
      </c>
      <c r="H78" s="1">
        <v>45596</v>
      </c>
      <c r="I78" s="1">
        <v>46996</v>
      </c>
      <c r="J78">
        <v>738400</v>
      </c>
      <c r="K78">
        <v>60</v>
      </c>
      <c r="L78">
        <v>47</v>
      </c>
      <c r="M78">
        <v>13</v>
      </c>
      <c r="N78">
        <v>13.45</v>
      </c>
      <c r="O78">
        <v>16971.46</v>
      </c>
      <c r="P78" t="s">
        <v>72</v>
      </c>
      <c r="Q78">
        <v>589606.61</v>
      </c>
      <c r="R78">
        <v>16971.46</v>
      </c>
      <c r="S78">
        <v>16124.03</v>
      </c>
      <c r="T78" s="1">
        <v>45569</v>
      </c>
      <c r="U78" t="s">
        <v>73</v>
      </c>
      <c r="V78">
        <v>0</v>
      </c>
      <c r="W78">
        <v>13</v>
      </c>
      <c r="X78">
        <v>13</v>
      </c>
      <c r="Y78">
        <v>0</v>
      </c>
      <c r="Z78">
        <v>0</v>
      </c>
      <c r="AA78">
        <v>0</v>
      </c>
      <c r="AB78" t="s">
        <v>111</v>
      </c>
      <c r="AC78" t="s">
        <v>251</v>
      </c>
      <c r="AD78">
        <v>2023</v>
      </c>
      <c r="AE78" t="s">
        <v>99</v>
      </c>
      <c r="AF78" t="b">
        <v>1</v>
      </c>
      <c r="AG78">
        <v>971000</v>
      </c>
      <c r="AH78">
        <v>770732.53</v>
      </c>
      <c r="AI78">
        <v>0.76049999999999995</v>
      </c>
      <c r="AJ78">
        <v>0.71950000000000003</v>
      </c>
      <c r="AK78">
        <v>36</v>
      </c>
      <c r="AL78" t="s">
        <v>120</v>
      </c>
      <c r="AM78">
        <v>4177000</v>
      </c>
      <c r="AN78">
        <v>4.8800000000000003E-2</v>
      </c>
      <c r="AO78">
        <v>776</v>
      </c>
      <c r="AP78">
        <v>760</v>
      </c>
      <c r="AQ78" t="s">
        <v>91</v>
      </c>
      <c r="AR78" t="s">
        <v>192</v>
      </c>
      <c r="AS78">
        <v>1</v>
      </c>
      <c r="AT78">
        <v>2.1499999999999998E-2</v>
      </c>
      <c r="AU78">
        <v>0.60099999999999998</v>
      </c>
      <c r="AV78">
        <v>590086.59</v>
      </c>
      <c r="AW78">
        <v>7624.8</v>
      </c>
      <c r="AX78" t="b">
        <v>0</v>
      </c>
      <c r="AY78" t="b">
        <v>0</v>
      </c>
      <c r="AZ78" t="s">
        <v>80</v>
      </c>
      <c r="BA78">
        <v>0</v>
      </c>
      <c r="BB78">
        <v>0</v>
      </c>
      <c r="BC78">
        <v>0</v>
      </c>
      <c r="BD78">
        <v>0</v>
      </c>
      <c r="BE78" t="s">
        <v>134</v>
      </c>
      <c r="BF78" t="b">
        <v>1</v>
      </c>
    </row>
    <row r="79" spans="1:58" x14ac:dyDescent="0.3">
      <c r="A79" t="s">
        <v>318</v>
      </c>
      <c r="B79" t="s">
        <v>67</v>
      </c>
      <c r="C79" t="s">
        <v>319</v>
      </c>
      <c r="D79" t="s">
        <v>95</v>
      </c>
      <c r="E79" t="s">
        <v>96</v>
      </c>
      <c r="F79" t="s">
        <v>115</v>
      </c>
      <c r="G79" s="1">
        <v>44467</v>
      </c>
      <c r="H79" s="1">
        <v>45596</v>
      </c>
      <c r="I79" s="1">
        <v>45547</v>
      </c>
      <c r="J79">
        <v>763900</v>
      </c>
      <c r="K79">
        <v>36</v>
      </c>
      <c r="L79">
        <v>0</v>
      </c>
      <c r="M79">
        <v>37</v>
      </c>
      <c r="N79">
        <v>10.1</v>
      </c>
      <c r="O79">
        <v>24684.78</v>
      </c>
      <c r="P79" t="s">
        <v>72</v>
      </c>
      <c r="Q79">
        <v>0</v>
      </c>
      <c r="R79">
        <v>24684.78</v>
      </c>
      <c r="S79">
        <v>23625.38</v>
      </c>
      <c r="T79" s="1">
        <v>45572</v>
      </c>
      <c r="U79" t="s">
        <v>73</v>
      </c>
      <c r="V79">
        <v>0</v>
      </c>
      <c r="W79">
        <v>37</v>
      </c>
      <c r="X79">
        <v>37</v>
      </c>
      <c r="Y79">
        <v>0</v>
      </c>
      <c r="Z79">
        <v>0</v>
      </c>
      <c r="AA79">
        <v>0</v>
      </c>
      <c r="AB79" t="s">
        <v>88</v>
      </c>
      <c r="AC79" t="s">
        <v>89</v>
      </c>
      <c r="AD79">
        <v>2021</v>
      </c>
      <c r="AE79" t="s">
        <v>119</v>
      </c>
      <c r="AF79" t="b">
        <v>1</v>
      </c>
      <c r="AG79">
        <v>1052000</v>
      </c>
      <c r="AH79">
        <v>536870.96</v>
      </c>
      <c r="AI79">
        <v>0.72619999999999996</v>
      </c>
      <c r="AJ79">
        <v>0</v>
      </c>
      <c r="AK79">
        <v>28</v>
      </c>
      <c r="AL79" t="s">
        <v>120</v>
      </c>
      <c r="AM79">
        <v>3240000</v>
      </c>
      <c r="AN79">
        <v>9.1399999999999995E-2</v>
      </c>
      <c r="AO79">
        <v>835</v>
      </c>
      <c r="AP79">
        <v>814</v>
      </c>
      <c r="AQ79" t="s">
        <v>127</v>
      </c>
      <c r="AR79" t="s">
        <v>128</v>
      </c>
      <c r="AS79">
        <v>1</v>
      </c>
      <c r="AT79">
        <v>1.41E-2</v>
      </c>
      <c r="AU79">
        <v>0.4531</v>
      </c>
      <c r="AV79">
        <v>0</v>
      </c>
      <c r="AW79">
        <v>0</v>
      </c>
      <c r="AX79" t="b">
        <v>0</v>
      </c>
      <c r="AY79" t="b">
        <v>0</v>
      </c>
      <c r="AZ79" t="s">
        <v>80</v>
      </c>
      <c r="BA79">
        <v>0</v>
      </c>
      <c r="BB79">
        <v>0</v>
      </c>
      <c r="BC79">
        <v>0</v>
      </c>
      <c r="BD79">
        <v>0</v>
      </c>
      <c r="BE79" t="s">
        <v>134</v>
      </c>
      <c r="BF79" t="b">
        <v>1</v>
      </c>
    </row>
    <row r="80" spans="1:58" x14ac:dyDescent="0.3">
      <c r="A80" t="s">
        <v>320</v>
      </c>
      <c r="B80" t="s">
        <v>67</v>
      </c>
      <c r="C80" t="s">
        <v>321</v>
      </c>
      <c r="D80" t="s">
        <v>84</v>
      </c>
      <c r="E80" t="s">
        <v>85</v>
      </c>
      <c r="F80" t="s">
        <v>124</v>
      </c>
      <c r="G80" s="1">
        <v>44406</v>
      </c>
      <c r="H80" s="1">
        <v>45596</v>
      </c>
      <c r="I80" s="1">
        <v>45846</v>
      </c>
      <c r="J80">
        <v>1018700</v>
      </c>
      <c r="K80">
        <v>48</v>
      </c>
      <c r="L80">
        <v>9</v>
      </c>
      <c r="M80">
        <v>39</v>
      </c>
      <c r="N80">
        <v>11.99</v>
      </c>
      <c r="O80">
        <v>26821.279999999999</v>
      </c>
      <c r="P80" t="s">
        <v>72</v>
      </c>
      <c r="Q80">
        <v>191306.23999999999</v>
      </c>
      <c r="R80">
        <v>26821.279999999999</v>
      </c>
      <c r="S80">
        <v>26964.5</v>
      </c>
      <c r="T80" s="1">
        <v>45578</v>
      </c>
      <c r="U80" t="s">
        <v>73</v>
      </c>
      <c r="V80">
        <v>0</v>
      </c>
      <c r="W80">
        <v>39</v>
      </c>
      <c r="X80">
        <v>39</v>
      </c>
      <c r="Y80">
        <v>0</v>
      </c>
      <c r="Z80">
        <v>0</v>
      </c>
      <c r="AA80">
        <v>0</v>
      </c>
      <c r="AB80" t="s">
        <v>74</v>
      </c>
      <c r="AC80" t="s">
        <v>260</v>
      </c>
      <c r="AD80">
        <v>2021</v>
      </c>
      <c r="AE80" t="s">
        <v>119</v>
      </c>
      <c r="AF80" t="b">
        <v>1</v>
      </c>
      <c r="AG80">
        <v>1170000</v>
      </c>
      <c r="AH80">
        <v>657168.37</v>
      </c>
      <c r="AI80">
        <v>0.87070000000000003</v>
      </c>
      <c r="AJ80">
        <v>0.30730000000000002</v>
      </c>
      <c r="AK80">
        <v>58</v>
      </c>
      <c r="AL80" t="s">
        <v>132</v>
      </c>
      <c r="AM80">
        <v>827000</v>
      </c>
      <c r="AN80">
        <v>0.38919999999999999</v>
      </c>
      <c r="AO80">
        <v>739</v>
      </c>
      <c r="AP80">
        <v>716</v>
      </c>
      <c r="AQ80" t="s">
        <v>100</v>
      </c>
      <c r="AR80" t="s">
        <v>107</v>
      </c>
      <c r="AS80">
        <v>1</v>
      </c>
      <c r="AT80">
        <v>1.8200000000000001E-2</v>
      </c>
      <c r="AU80">
        <v>0.4788</v>
      </c>
      <c r="AV80">
        <v>198873.14</v>
      </c>
      <c r="AW80">
        <v>1733.01</v>
      </c>
      <c r="AX80" t="b">
        <v>0</v>
      </c>
      <c r="AY80" t="b">
        <v>0</v>
      </c>
      <c r="AZ80" t="s">
        <v>80</v>
      </c>
      <c r="BA80">
        <v>0</v>
      </c>
      <c r="BB80">
        <v>0</v>
      </c>
      <c r="BC80">
        <v>0</v>
      </c>
      <c r="BD80">
        <v>0</v>
      </c>
      <c r="BE80" t="s">
        <v>81</v>
      </c>
      <c r="BF80" t="b">
        <v>1</v>
      </c>
    </row>
    <row r="81" spans="1:58" x14ac:dyDescent="0.3">
      <c r="A81" t="s">
        <v>322</v>
      </c>
      <c r="B81" t="s">
        <v>67</v>
      </c>
      <c r="C81" t="s">
        <v>323</v>
      </c>
      <c r="D81" t="s">
        <v>95</v>
      </c>
      <c r="E81" t="s">
        <v>96</v>
      </c>
      <c r="F81" t="s">
        <v>115</v>
      </c>
      <c r="G81" s="1">
        <v>44251</v>
      </c>
      <c r="H81" s="1">
        <v>45596</v>
      </c>
      <c r="I81" s="1">
        <v>45331</v>
      </c>
      <c r="J81">
        <v>669300</v>
      </c>
      <c r="K81">
        <v>36</v>
      </c>
      <c r="L81">
        <v>0</v>
      </c>
      <c r="M81">
        <v>44</v>
      </c>
      <c r="N81">
        <v>12.99</v>
      </c>
      <c r="O81">
        <v>22548.14</v>
      </c>
      <c r="P81" t="s">
        <v>72</v>
      </c>
      <c r="Q81">
        <v>0</v>
      </c>
      <c r="R81">
        <v>22548.14</v>
      </c>
      <c r="S81">
        <v>9138.5</v>
      </c>
      <c r="T81" s="1">
        <v>45564</v>
      </c>
      <c r="U81" t="s">
        <v>143</v>
      </c>
      <c r="V81">
        <v>41</v>
      </c>
      <c r="W81">
        <v>44</v>
      </c>
      <c r="X81">
        <v>39</v>
      </c>
      <c r="Y81">
        <v>2</v>
      </c>
      <c r="Z81">
        <v>2</v>
      </c>
      <c r="AA81">
        <v>0</v>
      </c>
      <c r="AB81" t="s">
        <v>88</v>
      </c>
      <c r="AC81" t="s">
        <v>89</v>
      </c>
      <c r="AD81">
        <v>2021</v>
      </c>
      <c r="AE81" t="s">
        <v>90</v>
      </c>
      <c r="AF81" t="b">
        <v>1</v>
      </c>
      <c r="AG81">
        <v>908000</v>
      </c>
      <c r="AH81">
        <v>451471.39</v>
      </c>
      <c r="AI81">
        <v>0.73709999999999998</v>
      </c>
      <c r="AJ81">
        <v>0</v>
      </c>
      <c r="AK81">
        <v>56</v>
      </c>
      <c r="AL81" t="s">
        <v>120</v>
      </c>
      <c r="AM81">
        <v>830000</v>
      </c>
      <c r="AN81">
        <v>0.32600000000000001</v>
      </c>
      <c r="AO81">
        <v>777</v>
      </c>
      <c r="AP81">
        <v>803</v>
      </c>
      <c r="AQ81" t="s">
        <v>145</v>
      </c>
      <c r="AR81" t="s">
        <v>203</v>
      </c>
      <c r="AS81">
        <v>2</v>
      </c>
      <c r="AT81">
        <v>8.5199999999999998E-2</v>
      </c>
      <c r="AU81">
        <v>0.37030000000000002</v>
      </c>
      <c r="AV81">
        <v>0</v>
      </c>
      <c r="AW81">
        <v>0</v>
      </c>
      <c r="AX81" t="b">
        <v>0</v>
      </c>
      <c r="AY81" t="b">
        <v>0</v>
      </c>
      <c r="AZ81" t="s">
        <v>80</v>
      </c>
      <c r="BA81">
        <v>0</v>
      </c>
      <c r="BB81">
        <v>0</v>
      </c>
      <c r="BC81">
        <v>0</v>
      </c>
      <c r="BD81">
        <v>4090.38</v>
      </c>
      <c r="BE81" t="s">
        <v>108</v>
      </c>
      <c r="BF81" t="b">
        <v>0</v>
      </c>
    </row>
    <row r="82" spans="1:58" x14ac:dyDescent="0.3">
      <c r="A82" t="s">
        <v>324</v>
      </c>
      <c r="B82" t="s">
        <v>67</v>
      </c>
      <c r="C82" t="s">
        <v>325</v>
      </c>
      <c r="D82" t="s">
        <v>84</v>
      </c>
      <c r="E82" t="s">
        <v>85</v>
      </c>
      <c r="F82" t="s">
        <v>115</v>
      </c>
      <c r="G82" s="1">
        <v>45064</v>
      </c>
      <c r="H82" s="1">
        <v>45596</v>
      </c>
      <c r="I82" s="1">
        <v>46864</v>
      </c>
      <c r="J82">
        <v>960600</v>
      </c>
      <c r="K82">
        <v>60</v>
      </c>
      <c r="L82">
        <v>43</v>
      </c>
      <c r="M82">
        <v>17</v>
      </c>
      <c r="N82">
        <v>8.0500000000000007</v>
      </c>
      <c r="O82">
        <v>19500.5</v>
      </c>
      <c r="P82" t="s">
        <v>72</v>
      </c>
      <c r="Q82">
        <v>714685.85</v>
      </c>
      <c r="R82">
        <v>19500.5</v>
      </c>
      <c r="S82">
        <v>19893.43</v>
      </c>
      <c r="T82" s="1">
        <v>45586</v>
      </c>
      <c r="U82" t="s">
        <v>73</v>
      </c>
      <c r="V82">
        <v>0</v>
      </c>
      <c r="W82">
        <v>17</v>
      </c>
      <c r="X82">
        <v>17</v>
      </c>
      <c r="Y82">
        <v>0</v>
      </c>
      <c r="Z82">
        <v>0</v>
      </c>
      <c r="AA82">
        <v>0</v>
      </c>
      <c r="AB82" t="s">
        <v>174</v>
      </c>
      <c r="AC82" t="s">
        <v>305</v>
      </c>
      <c r="AD82">
        <v>2023</v>
      </c>
      <c r="AE82" t="s">
        <v>90</v>
      </c>
      <c r="AF82" t="b">
        <v>1</v>
      </c>
      <c r="AG82">
        <v>1378000</v>
      </c>
      <c r="AH82">
        <v>1096101.08</v>
      </c>
      <c r="AI82">
        <v>0.69710000000000005</v>
      </c>
      <c r="AJ82">
        <v>0.65159999999999996</v>
      </c>
      <c r="AK82">
        <v>32</v>
      </c>
      <c r="AL82" t="s">
        <v>106</v>
      </c>
      <c r="AM82">
        <v>3391000</v>
      </c>
      <c r="AN82">
        <v>6.9000000000000006E-2</v>
      </c>
      <c r="AO82">
        <v>816</v>
      </c>
      <c r="AP82">
        <v>774</v>
      </c>
      <c r="AQ82" t="s">
        <v>91</v>
      </c>
      <c r="AR82" t="s">
        <v>252</v>
      </c>
      <c r="AS82">
        <v>1</v>
      </c>
      <c r="AT82">
        <v>1.77E-2</v>
      </c>
      <c r="AU82">
        <v>0.57250000000000001</v>
      </c>
      <c r="AV82">
        <v>741152.75</v>
      </c>
      <c r="AW82">
        <v>7510.29</v>
      </c>
      <c r="AX82" t="b">
        <v>0</v>
      </c>
      <c r="AY82" t="b">
        <v>0</v>
      </c>
      <c r="AZ82" t="s">
        <v>80</v>
      </c>
      <c r="BA82">
        <v>0</v>
      </c>
      <c r="BB82">
        <v>0</v>
      </c>
      <c r="BC82">
        <v>0</v>
      </c>
      <c r="BD82">
        <v>0</v>
      </c>
      <c r="BE82" t="s">
        <v>108</v>
      </c>
      <c r="BF82" t="b">
        <v>0</v>
      </c>
    </row>
    <row r="83" spans="1:58" x14ac:dyDescent="0.3">
      <c r="A83" t="s">
        <v>326</v>
      </c>
      <c r="B83" t="s">
        <v>67</v>
      </c>
      <c r="C83" t="s">
        <v>327</v>
      </c>
      <c r="D83" t="s">
        <v>69</v>
      </c>
      <c r="E83" t="s">
        <v>70</v>
      </c>
      <c r="F83" t="s">
        <v>115</v>
      </c>
      <c r="G83" s="1">
        <v>44907</v>
      </c>
      <c r="H83" s="1">
        <v>45596</v>
      </c>
      <c r="I83" s="1">
        <v>45987</v>
      </c>
      <c r="J83">
        <v>1494400</v>
      </c>
      <c r="K83">
        <v>36</v>
      </c>
      <c r="L83">
        <v>14</v>
      </c>
      <c r="M83">
        <v>22</v>
      </c>
      <c r="N83">
        <v>12.9</v>
      </c>
      <c r="O83">
        <v>50280.29</v>
      </c>
      <c r="P83" t="s">
        <v>72</v>
      </c>
      <c r="Q83">
        <v>525599.07999999996</v>
      </c>
      <c r="R83">
        <v>50280.29</v>
      </c>
      <c r="S83">
        <v>49596.36</v>
      </c>
      <c r="T83" s="1">
        <v>45587</v>
      </c>
      <c r="U83" t="s">
        <v>73</v>
      </c>
      <c r="V83">
        <v>0</v>
      </c>
      <c r="W83">
        <v>22</v>
      </c>
      <c r="X83">
        <v>22</v>
      </c>
      <c r="Y83">
        <v>0</v>
      </c>
      <c r="Z83">
        <v>0</v>
      </c>
      <c r="AA83">
        <v>0</v>
      </c>
      <c r="AB83" t="s">
        <v>97</v>
      </c>
      <c r="AC83" t="s">
        <v>152</v>
      </c>
      <c r="AD83">
        <v>2022</v>
      </c>
      <c r="AE83" t="s">
        <v>76</v>
      </c>
      <c r="AF83" t="b">
        <v>1</v>
      </c>
      <c r="AG83">
        <v>1650000</v>
      </c>
      <c r="AH83">
        <v>1136426.03</v>
      </c>
      <c r="AI83">
        <v>0.90569999999999995</v>
      </c>
      <c r="AJ83">
        <v>0.43280000000000002</v>
      </c>
      <c r="AK83">
        <v>50</v>
      </c>
      <c r="AL83" t="s">
        <v>106</v>
      </c>
      <c r="AM83">
        <v>1757000</v>
      </c>
      <c r="AN83">
        <v>0.34339999999999998</v>
      </c>
      <c r="AO83">
        <v>797</v>
      </c>
      <c r="AP83">
        <v>827</v>
      </c>
      <c r="AQ83" t="s">
        <v>145</v>
      </c>
      <c r="AR83" t="s">
        <v>182</v>
      </c>
      <c r="AS83">
        <v>1</v>
      </c>
      <c r="AT83">
        <v>1.67E-2</v>
      </c>
      <c r="AU83">
        <v>0.50260000000000005</v>
      </c>
      <c r="AV83">
        <v>526756.39</v>
      </c>
      <c r="AW83">
        <v>4421.29</v>
      </c>
      <c r="AX83" t="b">
        <v>0</v>
      </c>
      <c r="AY83" t="b">
        <v>0</v>
      </c>
      <c r="AZ83" t="s">
        <v>80</v>
      </c>
      <c r="BA83">
        <v>0</v>
      </c>
      <c r="BB83">
        <v>0</v>
      </c>
      <c r="BC83">
        <v>0</v>
      </c>
      <c r="BD83">
        <v>0</v>
      </c>
      <c r="BE83" t="s">
        <v>134</v>
      </c>
      <c r="BF83" t="b">
        <v>1</v>
      </c>
    </row>
    <row r="84" spans="1:58" x14ac:dyDescent="0.3">
      <c r="A84" t="s">
        <v>328</v>
      </c>
      <c r="B84" t="s">
        <v>67</v>
      </c>
      <c r="C84" t="s">
        <v>329</v>
      </c>
      <c r="D84" t="s">
        <v>95</v>
      </c>
      <c r="E84" t="s">
        <v>96</v>
      </c>
      <c r="F84" t="s">
        <v>71</v>
      </c>
      <c r="G84" s="1">
        <v>44269</v>
      </c>
      <c r="H84" s="1">
        <v>45596</v>
      </c>
      <c r="I84" s="1">
        <v>46069</v>
      </c>
      <c r="J84">
        <v>1008000</v>
      </c>
      <c r="K84">
        <v>60</v>
      </c>
      <c r="L84">
        <v>17</v>
      </c>
      <c r="M84">
        <v>43</v>
      </c>
      <c r="N84">
        <v>13.28</v>
      </c>
      <c r="O84">
        <v>23079.84</v>
      </c>
      <c r="P84" t="s">
        <v>72</v>
      </c>
      <c r="Q84">
        <v>281524.59999999998</v>
      </c>
      <c r="R84">
        <v>23079.84</v>
      </c>
      <c r="S84">
        <v>14041.45</v>
      </c>
      <c r="T84" s="1">
        <v>45581</v>
      </c>
      <c r="U84" t="s">
        <v>143</v>
      </c>
      <c r="V84">
        <v>57</v>
      </c>
      <c r="W84">
        <v>43</v>
      </c>
      <c r="X84">
        <v>41</v>
      </c>
      <c r="Y84">
        <v>2</v>
      </c>
      <c r="Z84">
        <v>0</v>
      </c>
      <c r="AA84">
        <v>0</v>
      </c>
      <c r="AB84" t="s">
        <v>97</v>
      </c>
      <c r="AC84" t="s">
        <v>152</v>
      </c>
      <c r="AD84">
        <v>2021</v>
      </c>
      <c r="AE84" t="s">
        <v>76</v>
      </c>
      <c r="AF84" t="b">
        <v>1</v>
      </c>
      <c r="AG84">
        <v>1183000</v>
      </c>
      <c r="AH84">
        <v>532556.81999999995</v>
      </c>
      <c r="AI84">
        <v>0.85209999999999997</v>
      </c>
      <c r="AJ84">
        <v>0.49170000000000003</v>
      </c>
      <c r="AK84">
        <v>57</v>
      </c>
      <c r="AL84" t="s">
        <v>132</v>
      </c>
      <c r="AM84">
        <v>2491000</v>
      </c>
      <c r="AN84">
        <v>0.11119999999999999</v>
      </c>
      <c r="AO84">
        <v>661</v>
      </c>
      <c r="AP84">
        <v>662</v>
      </c>
      <c r="AQ84" t="s">
        <v>145</v>
      </c>
      <c r="AR84" t="s">
        <v>182</v>
      </c>
      <c r="AS84">
        <v>2</v>
      </c>
      <c r="AT84">
        <v>0.1174</v>
      </c>
      <c r="AU84">
        <v>0.52749999999999997</v>
      </c>
      <c r="AV84">
        <v>288469.26</v>
      </c>
      <c r="AW84">
        <v>17864.47</v>
      </c>
      <c r="AX84" t="b">
        <v>0</v>
      </c>
      <c r="AY84" t="b">
        <v>0</v>
      </c>
      <c r="AZ84" t="s">
        <v>80</v>
      </c>
      <c r="BA84">
        <v>0</v>
      </c>
      <c r="BB84">
        <v>0</v>
      </c>
      <c r="BC84">
        <v>0</v>
      </c>
      <c r="BD84">
        <v>0</v>
      </c>
      <c r="BE84" t="s">
        <v>108</v>
      </c>
      <c r="BF84" t="b">
        <v>1</v>
      </c>
    </row>
    <row r="85" spans="1:58" x14ac:dyDescent="0.3">
      <c r="A85" t="s">
        <v>330</v>
      </c>
      <c r="B85" t="s">
        <v>67</v>
      </c>
      <c r="C85" t="s">
        <v>331</v>
      </c>
      <c r="D85" t="s">
        <v>69</v>
      </c>
      <c r="E85" t="s">
        <v>70</v>
      </c>
      <c r="F85" t="s">
        <v>115</v>
      </c>
      <c r="G85" s="1">
        <v>45036</v>
      </c>
      <c r="H85" s="1">
        <v>45596</v>
      </c>
      <c r="I85" s="1">
        <v>47196</v>
      </c>
      <c r="J85">
        <v>695400</v>
      </c>
      <c r="K85">
        <v>72</v>
      </c>
      <c r="L85">
        <v>54</v>
      </c>
      <c r="M85">
        <v>18</v>
      </c>
      <c r="N85">
        <v>13.44</v>
      </c>
      <c r="O85">
        <v>14121.54</v>
      </c>
      <c r="P85" t="s">
        <v>72</v>
      </c>
      <c r="Q85">
        <v>526286.85</v>
      </c>
      <c r="R85">
        <v>14121.54</v>
      </c>
      <c r="S85">
        <v>14777.09</v>
      </c>
      <c r="T85" s="1">
        <v>45581</v>
      </c>
      <c r="U85" t="s">
        <v>73</v>
      </c>
      <c r="V85">
        <v>0</v>
      </c>
      <c r="W85">
        <v>18</v>
      </c>
      <c r="X85">
        <v>18</v>
      </c>
      <c r="Y85">
        <v>0</v>
      </c>
      <c r="Z85">
        <v>0</v>
      </c>
      <c r="AA85">
        <v>0</v>
      </c>
      <c r="AB85" t="s">
        <v>117</v>
      </c>
      <c r="AC85" t="s">
        <v>118</v>
      </c>
      <c r="AD85">
        <v>2023</v>
      </c>
      <c r="AE85" t="s">
        <v>99</v>
      </c>
      <c r="AF85" t="b">
        <v>1</v>
      </c>
      <c r="AG85">
        <v>1158000</v>
      </c>
      <c r="AH85">
        <v>870045.7</v>
      </c>
      <c r="AI85">
        <v>0.60050000000000003</v>
      </c>
      <c r="AJ85">
        <v>0.57969999999999999</v>
      </c>
      <c r="AK85">
        <v>36</v>
      </c>
      <c r="AL85" t="s">
        <v>77</v>
      </c>
      <c r="AM85">
        <v>2273000</v>
      </c>
      <c r="AN85">
        <v>7.46E-2</v>
      </c>
      <c r="AO85">
        <v>665</v>
      </c>
      <c r="AP85">
        <v>633</v>
      </c>
      <c r="AQ85" t="s">
        <v>91</v>
      </c>
      <c r="AR85" t="s">
        <v>92</v>
      </c>
      <c r="AS85">
        <v>1</v>
      </c>
      <c r="AT85">
        <v>2.01E-2</v>
      </c>
      <c r="AU85">
        <v>0.54120000000000001</v>
      </c>
      <c r="AV85">
        <v>536663.93999999994</v>
      </c>
      <c r="AW85">
        <v>5837.89</v>
      </c>
      <c r="AX85" t="b">
        <v>0</v>
      </c>
      <c r="AY85" t="b">
        <v>0</v>
      </c>
      <c r="AZ85" t="s">
        <v>80</v>
      </c>
      <c r="BA85">
        <v>0</v>
      </c>
      <c r="BB85">
        <v>0</v>
      </c>
      <c r="BC85">
        <v>0</v>
      </c>
      <c r="BD85">
        <v>0</v>
      </c>
      <c r="BE85" t="s">
        <v>108</v>
      </c>
      <c r="BF85" t="b">
        <v>1</v>
      </c>
    </row>
    <row r="86" spans="1:58" x14ac:dyDescent="0.3">
      <c r="A86" t="s">
        <v>332</v>
      </c>
      <c r="B86" t="s">
        <v>67</v>
      </c>
      <c r="C86" t="s">
        <v>333</v>
      </c>
      <c r="D86" t="s">
        <v>84</v>
      </c>
      <c r="E86" t="s">
        <v>85</v>
      </c>
      <c r="F86" t="s">
        <v>86</v>
      </c>
      <c r="G86" s="1">
        <v>44842</v>
      </c>
      <c r="H86" s="1">
        <v>45596</v>
      </c>
      <c r="I86" s="1">
        <v>45922</v>
      </c>
      <c r="J86">
        <v>1153300</v>
      </c>
      <c r="K86">
        <v>36</v>
      </c>
      <c r="L86">
        <v>12</v>
      </c>
      <c r="M86">
        <v>24</v>
      </c>
      <c r="N86">
        <v>14.1</v>
      </c>
      <c r="O86">
        <v>39473.1</v>
      </c>
      <c r="P86" t="s">
        <v>72</v>
      </c>
      <c r="Q86">
        <v>353838.89</v>
      </c>
      <c r="R86">
        <v>39473.1</v>
      </c>
      <c r="S86">
        <v>40306.6</v>
      </c>
      <c r="T86" s="1">
        <v>45574</v>
      </c>
      <c r="U86" t="s">
        <v>73</v>
      </c>
      <c r="V86">
        <v>0</v>
      </c>
      <c r="W86">
        <v>24</v>
      </c>
      <c r="X86">
        <v>24</v>
      </c>
      <c r="Y86">
        <v>0</v>
      </c>
      <c r="Z86">
        <v>0</v>
      </c>
      <c r="AA86">
        <v>0</v>
      </c>
      <c r="AB86" t="s">
        <v>174</v>
      </c>
      <c r="AC86" t="s">
        <v>175</v>
      </c>
      <c r="AD86">
        <v>2022</v>
      </c>
      <c r="AE86" t="s">
        <v>119</v>
      </c>
      <c r="AF86" t="b">
        <v>1</v>
      </c>
      <c r="AG86">
        <v>1659000</v>
      </c>
      <c r="AH86">
        <v>1156696.6299999999</v>
      </c>
      <c r="AI86">
        <v>0.69520000000000004</v>
      </c>
      <c r="AJ86">
        <v>0.29959999999999998</v>
      </c>
      <c r="AK86">
        <v>61</v>
      </c>
      <c r="AL86" t="s">
        <v>132</v>
      </c>
      <c r="AM86">
        <v>827000</v>
      </c>
      <c r="AN86">
        <v>0.57279999999999998</v>
      </c>
      <c r="AO86">
        <v>769</v>
      </c>
      <c r="AP86">
        <v>759</v>
      </c>
      <c r="AQ86" t="s">
        <v>127</v>
      </c>
      <c r="AR86" t="s">
        <v>128</v>
      </c>
      <c r="AS86">
        <v>1</v>
      </c>
      <c r="AT86">
        <v>2.3900000000000001E-2</v>
      </c>
      <c r="AU86">
        <v>0.55910000000000004</v>
      </c>
      <c r="AV86">
        <v>354552.4</v>
      </c>
      <c r="AW86">
        <v>4737.7</v>
      </c>
      <c r="AX86" t="b">
        <v>0</v>
      </c>
      <c r="AY86" t="b">
        <v>0</v>
      </c>
      <c r="AZ86" t="s">
        <v>80</v>
      </c>
      <c r="BA86">
        <v>0</v>
      </c>
      <c r="BB86">
        <v>0</v>
      </c>
      <c r="BC86">
        <v>0</v>
      </c>
      <c r="BD86">
        <v>0</v>
      </c>
      <c r="BE86" t="s">
        <v>81</v>
      </c>
      <c r="BF86" t="b">
        <v>1</v>
      </c>
    </row>
    <row r="87" spans="1:58" x14ac:dyDescent="0.3">
      <c r="A87" t="s">
        <v>334</v>
      </c>
      <c r="B87" t="s">
        <v>67</v>
      </c>
      <c r="C87" t="s">
        <v>335</v>
      </c>
      <c r="D87" t="s">
        <v>69</v>
      </c>
      <c r="E87" t="s">
        <v>70</v>
      </c>
      <c r="F87" t="s">
        <v>115</v>
      </c>
      <c r="G87" s="1">
        <v>44297</v>
      </c>
      <c r="H87" s="1">
        <v>45596</v>
      </c>
      <c r="I87" s="1">
        <v>46457</v>
      </c>
      <c r="J87">
        <v>477600</v>
      </c>
      <c r="K87">
        <v>72</v>
      </c>
      <c r="L87">
        <v>30</v>
      </c>
      <c r="M87">
        <v>42</v>
      </c>
      <c r="N87">
        <v>11.39</v>
      </c>
      <c r="O87">
        <v>9186.36</v>
      </c>
      <c r="P87" t="s">
        <v>72</v>
      </c>
      <c r="Q87">
        <v>195521.11</v>
      </c>
      <c r="R87">
        <v>9186.36</v>
      </c>
      <c r="S87">
        <v>8839.6</v>
      </c>
      <c r="T87" s="1">
        <v>45567</v>
      </c>
      <c r="U87" t="s">
        <v>73</v>
      </c>
      <c r="V87">
        <v>0</v>
      </c>
      <c r="W87">
        <v>42</v>
      </c>
      <c r="X87">
        <v>42</v>
      </c>
      <c r="Y87">
        <v>0</v>
      </c>
      <c r="Z87">
        <v>0</v>
      </c>
      <c r="AA87">
        <v>0</v>
      </c>
      <c r="AB87" t="s">
        <v>88</v>
      </c>
      <c r="AC87" t="s">
        <v>171</v>
      </c>
      <c r="AD87">
        <v>2021</v>
      </c>
      <c r="AE87" t="s">
        <v>76</v>
      </c>
      <c r="AF87" t="b">
        <v>1</v>
      </c>
      <c r="AG87">
        <v>644000</v>
      </c>
      <c r="AH87">
        <v>290716.58</v>
      </c>
      <c r="AI87">
        <v>0.74150000000000005</v>
      </c>
      <c r="AJ87">
        <v>0.61209999999999998</v>
      </c>
      <c r="AK87">
        <v>54</v>
      </c>
      <c r="AL87" t="s">
        <v>132</v>
      </c>
      <c r="AM87">
        <v>763000</v>
      </c>
      <c r="AN87">
        <v>0.14449999999999999</v>
      </c>
      <c r="AO87">
        <v>653</v>
      </c>
      <c r="AP87">
        <v>610</v>
      </c>
      <c r="AQ87" t="s">
        <v>100</v>
      </c>
      <c r="AR87" t="s">
        <v>229</v>
      </c>
      <c r="AS87">
        <v>1</v>
      </c>
      <c r="AT87">
        <v>2.5999999999999999E-2</v>
      </c>
      <c r="AU87">
        <v>0.4093</v>
      </c>
      <c r="AV87">
        <v>201836.31</v>
      </c>
      <c r="AW87">
        <v>2147.9</v>
      </c>
      <c r="AX87" t="b">
        <v>0</v>
      </c>
      <c r="AY87" t="b">
        <v>0</v>
      </c>
      <c r="AZ87" t="s">
        <v>80</v>
      </c>
      <c r="BA87">
        <v>0</v>
      </c>
      <c r="BB87">
        <v>0</v>
      </c>
      <c r="BC87">
        <v>0</v>
      </c>
      <c r="BD87">
        <v>0</v>
      </c>
      <c r="BE87" t="s">
        <v>134</v>
      </c>
      <c r="BF87" t="b">
        <v>1</v>
      </c>
    </row>
    <row r="88" spans="1:58" x14ac:dyDescent="0.3">
      <c r="A88" t="s">
        <v>336</v>
      </c>
      <c r="B88" t="s">
        <v>67</v>
      </c>
      <c r="C88" t="s">
        <v>337</v>
      </c>
      <c r="D88" t="s">
        <v>69</v>
      </c>
      <c r="E88" t="s">
        <v>70</v>
      </c>
      <c r="F88" t="s">
        <v>71</v>
      </c>
      <c r="G88" s="1">
        <v>45372</v>
      </c>
      <c r="H88" s="1">
        <v>45596</v>
      </c>
      <c r="I88" s="1">
        <v>47172</v>
      </c>
      <c r="J88">
        <v>505800</v>
      </c>
      <c r="K88">
        <v>60</v>
      </c>
      <c r="L88">
        <v>53</v>
      </c>
      <c r="M88">
        <v>7</v>
      </c>
      <c r="N88">
        <v>9</v>
      </c>
      <c r="O88">
        <v>10499.58</v>
      </c>
      <c r="P88" t="s">
        <v>72</v>
      </c>
      <c r="Q88">
        <v>414653.59</v>
      </c>
      <c r="R88">
        <v>10499.58</v>
      </c>
      <c r="S88">
        <v>10351.65</v>
      </c>
      <c r="T88" s="1">
        <v>45562</v>
      </c>
      <c r="U88" t="s">
        <v>73</v>
      </c>
      <c r="V88">
        <v>0</v>
      </c>
      <c r="W88">
        <v>7</v>
      </c>
      <c r="X88">
        <v>7</v>
      </c>
      <c r="Y88">
        <v>0</v>
      </c>
      <c r="Z88">
        <v>0</v>
      </c>
      <c r="AA88">
        <v>0</v>
      </c>
      <c r="AB88" t="s">
        <v>174</v>
      </c>
      <c r="AC88" t="s">
        <v>175</v>
      </c>
      <c r="AD88">
        <v>2024</v>
      </c>
      <c r="AE88" t="s">
        <v>99</v>
      </c>
      <c r="AF88" t="b">
        <v>1</v>
      </c>
      <c r="AG88">
        <v>675000</v>
      </c>
      <c r="AH88">
        <v>653102.27</v>
      </c>
      <c r="AI88">
        <v>0.74929999999999997</v>
      </c>
      <c r="AJ88">
        <v>0.67059999999999997</v>
      </c>
      <c r="AK88">
        <v>50</v>
      </c>
      <c r="AL88" t="s">
        <v>77</v>
      </c>
      <c r="AM88">
        <v>463000</v>
      </c>
      <c r="AN88">
        <v>0.27210000000000001</v>
      </c>
      <c r="AO88">
        <v>808</v>
      </c>
      <c r="AP88">
        <v>836</v>
      </c>
      <c r="AQ88" t="s">
        <v>100</v>
      </c>
      <c r="AR88" t="s">
        <v>101</v>
      </c>
      <c r="AS88">
        <v>1</v>
      </c>
      <c r="AT88">
        <v>2.1600000000000001E-2</v>
      </c>
      <c r="AU88">
        <v>0.5907</v>
      </c>
      <c r="AV88">
        <v>431132.88</v>
      </c>
      <c r="AW88">
        <v>5500.88</v>
      </c>
      <c r="AX88" t="b">
        <v>0</v>
      </c>
      <c r="AY88" t="b">
        <v>0</v>
      </c>
      <c r="AZ88" t="s">
        <v>80</v>
      </c>
      <c r="BA88">
        <v>0</v>
      </c>
      <c r="BB88">
        <v>0</v>
      </c>
      <c r="BC88">
        <v>0</v>
      </c>
      <c r="BD88">
        <v>0</v>
      </c>
      <c r="BE88" t="s">
        <v>108</v>
      </c>
      <c r="BF88" t="b">
        <v>0</v>
      </c>
    </row>
    <row r="89" spans="1:58" x14ac:dyDescent="0.3">
      <c r="A89" t="s">
        <v>338</v>
      </c>
      <c r="B89" t="s">
        <v>67</v>
      </c>
      <c r="C89" t="s">
        <v>339</v>
      </c>
      <c r="D89" t="s">
        <v>95</v>
      </c>
      <c r="E89" t="s">
        <v>96</v>
      </c>
      <c r="F89" t="s">
        <v>86</v>
      </c>
      <c r="G89" s="1">
        <v>44901</v>
      </c>
      <c r="H89" s="1">
        <v>45596</v>
      </c>
      <c r="I89" s="1">
        <v>45981</v>
      </c>
      <c r="J89">
        <v>514500</v>
      </c>
      <c r="K89">
        <v>36</v>
      </c>
      <c r="L89">
        <v>14</v>
      </c>
      <c r="M89">
        <v>22</v>
      </c>
      <c r="N89">
        <v>13.77</v>
      </c>
      <c r="O89">
        <v>17526.97</v>
      </c>
      <c r="P89" t="s">
        <v>72</v>
      </c>
      <c r="Q89">
        <v>203440.88</v>
      </c>
      <c r="R89">
        <v>17526.97</v>
      </c>
      <c r="S89">
        <v>17873.349999999999</v>
      </c>
      <c r="T89" s="1">
        <v>45595</v>
      </c>
      <c r="U89" t="s">
        <v>73</v>
      </c>
      <c r="V89">
        <v>0</v>
      </c>
      <c r="W89">
        <v>22</v>
      </c>
      <c r="X89">
        <v>22</v>
      </c>
      <c r="Y89">
        <v>0</v>
      </c>
      <c r="Z89">
        <v>0</v>
      </c>
      <c r="AA89">
        <v>0</v>
      </c>
      <c r="AB89" t="s">
        <v>104</v>
      </c>
      <c r="AC89" t="s">
        <v>156</v>
      </c>
      <c r="AD89">
        <v>2022</v>
      </c>
      <c r="AE89" t="s">
        <v>76</v>
      </c>
      <c r="AF89" t="b">
        <v>1</v>
      </c>
      <c r="AG89">
        <v>636000</v>
      </c>
      <c r="AH89">
        <v>487143.1</v>
      </c>
      <c r="AI89">
        <v>0.80900000000000005</v>
      </c>
      <c r="AJ89">
        <v>0.43459999999999999</v>
      </c>
      <c r="AK89">
        <v>53</v>
      </c>
      <c r="AL89" t="s">
        <v>106</v>
      </c>
      <c r="AM89">
        <v>4998000</v>
      </c>
      <c r="AN89">
        <v>4.2099999999999999E-2</v>
      </c>
      <c r="AO89">
        <v>690</v>
      </c>
      <c r="AP89">
        <v>652</v>
      </c>
      <c r="AQ89" t="s">
        <v>100</v>
      </c>
      <c r="AR89" t="s">
        <v>229</v>
      </c>
      <c r="AS89">
        <v>1</v>
      </c>
      <c r="AT89">
        <v>2.52E-2</v>
      </c>
      <c r="AU89">
        <v>0.64749999999999996</v>
      </c>
      <c r="AV89">
        <v>205207.89</v>
      </c>
      <c r="AW89">
        <v>3348.38</v>
      </c>
      <c r="AX89" t="b">
        <v>0</v>
      </c>
      <c r="AY89" t="b">
        <v>0</v>
      </c>
      <c r="AZ89" t="s">
        <v>80</v>
      </c>
      <c r="BA89">
        <v>0</v>
      </c>
      <c r="BB89">
        <v>0</v>
      </c>
      <c r="BC89">
        <v>0</v>
      </c>
      <c r="BD89">
        <v>0</v>
      </c>
      <c r="BE89" t="s">
        <v>108</v>
      </c>
      <c r="BF89" t="b">
        <v>1</v>
      </c>
    </row>
    <row r="90" spans="1:58" x14ac:dyDescent="0.3">
      <c r="A90" t="s">
        <v>340</v>
      </c>
      <c r="B90" t="s">
        <v>67</v>
      </c>
      <c r="C90" t="s">
        <v>341</v>
      </c>
      <c r="D90" t="s">
        <v>69</v>
      </c>
      <c r="E90" t="s">
        <v>70</v>
      </c>
      <c r="F90" t="s">
        <v>115</v>
      </c>
      <c r="G90" s="1">
        <v>44917</v>
      </c>
      <c r="H90" s="1">
        <v>45596</v>
      </c>
      <c r="I90" s="1">
        <v>47077</v>
      </c>
      <c r="J90">
        <v>1564900</v>
      </c>
      <c r="K90">
        <v>72</v>
      </c>
      <c r="L90">
        <v>50</v>
      </c>
      <c r="M90">
        <v>22</v>
      </c>
      <c r="N90">
        <v>11.29</v>
      </c>
      <c r="O90">
        <v>30019.39</v>
      </c>
      <c r="P90" t="s">
        <v>72</v>
      </c>
      <c r="Q90">
        <v>1006680.08</v>
      </c>
      <c r="R90">
        <v>30019.39</v>
      </c>
      <c r="S90">
        <v>9500.43</v>
      </c>
      <c r="T90" s="1">
        <v>45590</v>
      </c>
      <c r="U90" t="s">
        <v>131</v>
      </c>
      <c r="V90">
        <v>64</v>
      </c>
      <c r="W90">
        <v>22</v>
      </c>
      <c r="X90">
        <v>18</v>
      </c>
      <c r="Y90">
        <v>0</v>
      </c>
      <c r="Z90">
        <v>0</v>
      </c>
      <c r="AA90">
        <v>0</v>
      </c>
      <c r="AB90" t="s">
        <v>104</v>
      </c>
      <c r="AC90" t="s">
        <v>105</v>
      </c>
      <c r="AD90">
        <v>2022</v>
      </c>
      <c r="AE90" t="s">
        <v>76</v>
      </c>
      <c r="AF90" t="b">
        <v>1</v>
      </c>
      <c r="AG90">
        <v>1771000</v>
      </c>
      <c r="AH90">
        <v>1260848.9099999999</v>
      </c>
      <c r="AI90">
        <v>0.88360000000000005</v>
      </c>
      <c r="AJ90">
        <v>0.77229999999999999</v>
      </c>
      <c r="AK90">
        <v>28</v>
      </c>
      <c r="AL90" t="s">
        <v>132</v>
      </c>
      <c r="AM90">
        <v>969000</v>
      </c>
      <c r="AN90">
        <v>0.37180000000000002</v>
      </c>
      <c r="AO90">
        <v>784</v>
      </c>
      <c r="AP90">
        <v>795</v>
      </c>
      <c r="AQ90" t="s">
        <v>145</v>
      </c>
      <c r="AR90" t="s">
        <v>157</v>
      </c>
      <c r="AS90">
        <v>2</v>
      </c>
      <c r="AT90">
        <v>0.1449</v>
      </c>
      <c r="AU90">
        <v>0.60819999999999996</v>
      </c>
      <c r="AV90">
        <v>1055028.8500000001</v>
      </c>
      <c r="AW90">
        <v>92977.77</v>
      </c>
      <c r="AX90" t="b">
        <v>0</v>
      </c>
      <c r="AY90" t="b">
        <v>0</v>
      </c>
      <c r="AZ90" t="s">
        <v>80</v>
      </c>
      <c r="BA90">
        <v>0</v>
      </c>
      <c r="BB90">
        <v>0</v>
      </c>
      <c r="BC90">
        <v>0</v>
      </c>
      <c r="BD90">
        <v>0</v>
      </c>
      <c r="BE90" t="s">
        <v>108</v>
      </c>
      <c r="BF90" t="b">
        <v>0</v>
      </c>
    </row>
    <row r="91" spans="1:58" x14ac:dyDescent="0.3">
      <c r="A91" t="s">
        <v>342</v>
      </c>
      <c r="B91" t="s">
        <v>67</v>
      </c>
      <c r="C91" t="s">
        <v>343</v>
      </c>
      <c r="D91" t="s">
        <v>84</v>
      </c>
      <c r="E91" t="s">
        <v>85</v>
      </c>
      <c r="F91" t="s">
        <v>115</v>
      </c>
      <c r="G91" s="1">
        <v>44857</v>
      </c>
      <c r="H91" s="1">
        <v>45596</v>
      </c>
      <c r="I91" s="1">
        <v>46657</v>
      </c>
      <c r="J91">
        <v>2750600</v>
      </c>
      <c r="K91">
        <v>60</v>
      </c>
      <c r="L91">
        <v>36</v>
      </c>
      <c r="M91">
        <v>24</v>
      </c>
      <c r="N91">
        <v>8.7200000000000006</v>
      </c>
      <c r="O91">
        <v>56724.87</v>
      </c>
      <c r="P91" t="s">
        <v>72</v>
      </c>
      <c r="Q91">
        <v>1725140.18</v>
      </c>
      <c r="R91">
        <v>56724.87</v>
      </c>
      <c r="S91">
        <v>59201.98</v>
      </c>
      <c r="T91" s="1">
        <v>45587</v>
      </c>
      <c r="U91" t="s">
        <v>73</v>
      </c>
      <c r="V91">
        <v>0</v>
      </c>
      <c r="W91">
        <v>24</v>
      </c>
      <c r="X91">
        <v>24</v>
      </c>
      <c r="Y91">
        <v>0</v>
      </c>
      <c r="Z91">
        <v>0</v>
      </c>
      <c r="AA91">
        <v>0</v>
      </c>
      <c r="AB91" t="s">
        <v>208</v>
      </c>
      <c r="AC91" t="s">
        <v>344</v>
      </c>
      <c r="AD91">
        <v>2022</v>
      </c>
      <c r="AE91" t="s">
        <v>166</v>
      </c>
      <c r="AF91" t="b">
        <v>1</v>
      </c>
      <c r="AG91">
        <v>2938000</v>
      </c>
      <c r="AH91">
        <v>2021221.73</v>
      </c>
      <c r="AI91">
        <v>0.93620000000000003</v>
      </c>
      <c r="AJ91">
        <v>0.82469999999999999</v>
      </c>
      <c r="AK91">
        <v>46</v>
      </c>
      <c r="AL91" t="s">
        <v>77</v>
      </c>
      <c r="AM91">
        <v>3428000</v>
      </c>
      <c r="AN91">
        <v>0.1986</v>
      </c>
      <c r="AO91">
        <v>694</v>
      </c>
      <c r="AP91">
        <v>692</v>
      </c>
      <c r="AQ91" t="s">
        <v>91</v>
      </c>
      <c r="AR91" t="s">
        <v>252</v>
      </c>
      <c r="AS91">
        <v>1</v>
      </c>
      <c r="AT91">
        <v>1.6199999999999999E-2</v>
      </c>
      <c r="AU91">
        <v>0.44550000000000001</v>
      </c>
      <c r="AV91">
        <v>1794905.45</v>
      </c>
      <c r="AW91">
        <v>12954.01</v>
      </c>
      <c r="AX91" t="b">
        <v>0</v>
      </c>
      <c r="AY91" t="b">
        <v>0</v>
      </c>
      <c r="AZ91" t="s">
        <v>80</v>
      </c>
      <c r="BA91">
        <v>0</v>
      </c>
      <c r="BB91">
        <v>0</v>
      </c>
      <c r="BC91">
        <v>0</v>
      </c>
      <c r="BD91">
        <v>0</v>
      </c>
      <c r="BE91" t="s">
        <v>81</v>
      </c>
      <c r="BF91" t="b">
        <v>1</v>
      </c>
    </row>
    <row r="92" spans="1:58" x14ac:dyDescent="0.3">
      <c r="A92" t="s">
        <v>345</v>
      </c>
      <c r="B92" t="s">
        <v>67</v>
      </c>
      <c r="C92" t="s">
        <v>346</v>
      </c>
      <c r="D92" t="s">
        <v>69</v>
      </c>
      <c r="E92" t="s">
        <v>70</v>
      </c>
      <c r="F92" t="s">
        <v>124</v>
      </c>
      <c r="G92" s="1">
        <v>44356</v>
      </c>
      <c r="H92" s="1">
        <v>45596</v>
      </c>
      <c r="I92" s="1">
        <v>46156</v>
      </c>
      <c r="J92">
        <v>1397200</v>
      </c>
      <c r="K92">
        <v>60</v>
      </c>
      <c r="L92">
        <v>20</v>
      </c>
      <c r="M92">
        <v>40</v>
      </c>
      <c r="N92">
        <v>10.63</v>
      </c>
      <c r="O92">
        <v>30121.34</v>
      </c>
      <c r="P92" t="s">
        <v>72</v>
      </c>
      <c r="Q92">
        <v>437687.74</v>
      </c>
      <c r="R92">
        <v>30121.34</v>
      </c>
      <c r="S92">
        <v>29503.58</v>
      </c>
      <c r="T92" s="1">
        <v>45576</v>
      </c>
      <c r="U92" t="s">
        <v>73</v>
      </c>
      <c r="V92">
        <v>0</v>
      </c>
      <c r="W92">
        <v>40</v>
      </c>
      <c r="X92">
        <v>40</v>
      </c>
      <c r="Y92">
        <v>0</v>
      </c>
      <c r="Z92">
        <v>0</v>
      </c>
      <c r="AA92">
        <v>0</v>
      </c>
      <c r="AB92" t="s">
        <v>125</v>
      </c>
      <c r="AC92" t="s">
        <v>238</v>
      </c>
      <c r="AD92">
        <v>2021</v>
      </c>
      <c r="AE92" t="s">
        <v>76</v>
      </c>
      <c r="AF92" t="b">
        <v>1</v>
      </c>
      <c r="AG92">
        <v>1491000</v>
      </c>
      <c r="AH92">
        <v>738279.51</v>
      </c>
      <c r="AI92">
        <v>0.93710000000000004</v>
      </c>
      <c r="AJ92">
        <v>0.5645</v>
      </c>
      <c r="AK92">
        <v>29</v>
      </c>
      <c r="AL92" t="s">
        <v>106</v>
      </c>
      <c r="AM92">
        <v>1075000</v>
      </c>
      <c r="AN92">
        <v>0.3362</v>
      </c>
      <c r="AO92">
        <v>650</v>
      </c>
      <c r="AP92">
        <v>606</v>
      </c>
      <c r="AQ92" t="s">
        <v>127</v>
      </c>
      <c r="AR92" t="s">
        <v>215</v>
      </c>
      <c r="AS92">
        <v>1</v>
      </c>
      <c r="AT92">
        <v>2.35E-2</v>
      </c>
      <c r="AU92">
        <v>0.52339999999999998</v>
      </c>
      <c r="AV92">
        <v>454281.44</v>
      </c>
      <c r="AW92">
        <v>5587.62</v>
      </c>
      <c r="AX92" t="b">
        <v>0</v>
      </c>
      <c r="AY92" t="b">
        <v>0</v>
      </c>
      <c r="AZ92" t="s">
        <v>80</v>
      </c>
      <c r="BA92">
        <v>0</v>
      </c>
      <c r="BB92">
        <v>0</v>
      </c>
      <c r="BC92">
        <v>0</v>
      </c>
      <c r="BD92">
        <v>0</v>
      </c>
      <c r="BE92" t="s">
        <v>81</v>
      </c>
      <c r="BF92" t="b">
        <v>1</v>
      </c>
    </row>
    <row r="93" spans="1:58" x14ac:dyDescent="0.3">
      <c r="A93" t="s">
        <v>347</v>
      </c>
      <c r="B93" t="s">
        <v>67</v>
      </c>
      <c r="C93" t="s">
        <v>348</v>
      </c>
      <c r="D93" t="s">
        <v>84</v>
      </c>
      <c r="E93" t="s">
        <v>85</v>
      </c>
      <c r="F93" t="s">
        <v>86</v>
      </c>
      <c r="G93" s="1">
        <v>44411</v>
      </c>
      <c r="H93" s="1">
        <v>45596</v>
      </c>
      <c r="I93" s="1">
        <v>45491</v>
      </c>
      <c r="J93">
        <v>772800</v>
      </c>
      <c r="K93">
        <v>36</v>
      </c>
      <c r="L93">
        <v>0</v>
      </c>
      <c r="M93">
        <v>38</v>
      </c>
      <c r="N93">
        <v>9.8699999999999992</v>
      </c>
      <c r="O93">
        <v>24888.94</v>
      </c>
      <c r="P93" t="s">
        <v>72</v>
      </c>
      <c r="Q93">
        <v>0</v>
      </c>
      <c r="R93">
        <v>24888.94</v>
      </c>
      <c r="S93">
        <v>24026.76</v>
      </c>
      <c r="T93" s="1">
        <v>45573</v>
      </c>
      <c r="U93" t="s">
        <v>73</v>
      </c>
      <c r="V93">
        <v>0</v>
      </c>
      <c r="W93">
        <v>38</v>
      </c>
      <c r="X93">
        <v>38</v>
      </c>
      <c r="Y93">
        <v>0</v>
      </c>
      <c r="Z93">
        <v>0</v>
      </c>
      <c r="AA93">
        <v>0</v>
      </c>
      <c r="AB93" t="s">
        <v>74</v>
      </c>
      <c r="AC93" t="s">
        <v>260</v>
      </c>
      <c r="AD93">
        <v>2021</v>
      </c>
      <c r="AE93" t="s">
        <v>166</v>
      </c>
      <c r="AF93" t="b">
        <v>1</v>
      </c>
      <c r="AG93">
        <v>1234000</v>
      </c>
      <c r="AH93">
        <v>604678.68000000005</v>
      </c>
      <c r="AI93">
        <v>0.62629999999999997</v>
      </c>
      <c r="AJ93">
        <v>0</v>
      </c>
      <c r="AK93">
        <v>26</v>
      </c>
      <c r="AL93" t="s">
        <v>120</v>
      </c>
      <c r="AM93">
        <v>4729000</v>
      </c>
      <c r="AN93">
        <v>6.3200000000000006E-2</v>
      </c>
      <c r="AO93">
        <v>692</v>
      </c>
      <c r="AP93">
        <v>719</v>
      </c>
      <c r="AQ93" t="s">
        <v>127</v>
      </c>
      <c r="AR93" t="s">
        <v>153</v>
      </c>
      <c r="AS93">
        <v>1</v>
      </c>
      <c r="AT93">
        <v>2.1899999999999999E-2</v>
      </c>
      <c r="AU93">
        <v>0.43919999999999998</v>
      </c>
      <c r="AV93">
        <v>0</v>
      </c>
      <c r="AW93">
        <v>0</v>
      </c>
      <c r="AX93" t="b">
        <v>0</v>
      </c>
      <c r="AY93" t="b">
        <v>0</v>
      </c>
      <c r="AZ93" t="s">
        <v>80</v>
      </c>
      <c r="BA93">
        <v>0</v>
      </c>
      <c r="BB93">
        <v>0</v>
      </c>
      <c r="BC93">
        <v>0</v>
      </c>
      <c r="BD93">
        <v>0</v>
      </c>
      <c r="BE93" t="s">
        <v>134</v>
      </c>
      <c r="BF93" t="b">
        <v>1</v>
      </c>
    </row>
    <row r="94" spans="1:58" x14ac:dyDescent="0.3">
      <c r="A94" t="s">
        <v>349</v>
      </c>
      <c r="B94" t="s">
        <v>67</v>
      </c>
      <c r="C94" t="s">
        <v>350</v>
      </c>
      <c r="D94" t="s">
        <v>95</v>
      </c>
      <c r="E94" t="s">
        <v>96</v>
      </c>
      <c r="F94" t="s">
        <v>86</v>
      </c>
      <c r="G94" s="1">
        <v>44376</v>
      </c>
      <c r="H94" s="1">
        <v>45596</v>
      </c>
      <c r="I94" s="1">
        <v>45816</v>
      </c>
      <c r="J94">
        <v>815500</v>
      </c>
      <c r="K94">
        <v>48</v>
      </c>
      <c r="L94">
        <v>8</v>
      </c>
      <c r="M94">
        <v>40</v>
      </c>
      <c r="N94">
        <v>11.97</v>
      </c>
      <c r="O94">
        <v>21463.23</v>
      </c>
      <c r="P94" t="s">
        <v>72</v>
      </c>
      <c r="Q94">
        <v>142244.76</v>
      </c>
      <c r="R94">
        <v>21463.23</v>
      </c>
      <c r="S94">
        <v>21824.12</v>
      </c>
      <c r="T94" s="1">
        <v>45562</v>
      </c>
      <c r="U94" t="s">
        <v>73</v>
      </c>
      <c r="V94">
        <v>0</v>
      </c>
      <c r="W94">
        <v>40</v>
      </c>
      <c r="X94">
        <v>40</v>
      </c>
      <c r="Y94">
        <v>0</v>
      </c>
      <c r="Z94">
        <v>0</v>
      </c>
      <c r="AA94">
        <v>0</v>
      </c>
      <c r="AB94" t="s">
        <v>88</v>
      </c>
      <c r="AC94" t="s">
        <v>181</v>
      </c>
      <c r="AD94">
        <v>2021</v>
      </c>
      <c r="AE94" t="s">
        <v>166</v>
      </c>
      <c r="AF94" t="b">
        <v>1</v>
      </c>
      <c r="AG94">
        <v>1339000</v>
      </c>
      <c r="AH94">
        <v>684302.13</v>
      </c>
      <c r="AI94">
        <v>0.60899999999999999</v>
      </c>
      <c r="AJ94">
        <v>0.20430000000000001</v>
      </c>
      <c r="AK94">
        <v>32</v>
      </c>
      <c r="AL94" t="s">
        <v>106</v>
      </c>
      <c r="AM94">
        <v>2672000</v>
      </c>
      <c r="AN94">
        <v>9.64E-2</v>
      </c>
      <c r="AO94">
        <v>819</v>
      </c>
      <c r="AP94">
        <v>802</v>
      </c>
      <c r="AQ94" t="s">
        <v>145</v>
      </c>
      <c r="AR94" t="s">
        <v>203</v>
      </c>
      <c r="AS94">
        <v>1</v>
      </c>
      <c r="AT94">
        <v>1.67E-2</v>
      </c>
      <c r="AU94">
        <v>0.43059999999999998</v>
      </c>
      <c r="AV94">
        <v>142683.15</v>
      </c>
      <c r="AW94">
        <v>1026.04</v>
      </c>
      <c r="AX94" t="b">
        <v>0</v>
      </c>
      <c r="AY94" t="b">
        <v>0</v>
      </c>
      <c r="AZ94" t="s">
        <v>80</v>
      </c>
      <c r="BA94">
        <v>0</v>
      </c>
      <c r="BB94">
        <v>0</v>
      </c>
      <c r="BC94">
        <v>0</v>
      </c>
      <c r="BD94">
        <v>0</v>
      </c>
      <c r="BE94" t="s">
        <v>81</v>
      </c>
      <c r="BF94" t="b">
        <v>1</v>
      </c>
    </row>
    <row r="95" spans="1:58" x14ac:dyDescent="0.3">
      <c r="A95" t="s">
        <v>351</v>
      </c>
      <c r="B95" t="s">
        <v>67</v>
      </c>
      <c r="C95" t="s">
        <v>352</v>
      </c>
      <c r="D95" t="s">
        <v>84</v>
      </c>
      <c r="E95" t="s">
        <v>85</v>
      </c>
      <c r="F95" t="s">
        <v>71</v>
      </c>
      <c r="G95" s="1">
        <v>45404</v>
      </c>
      <c r="H95" s="1">
        <v>45596</v>
      </c>
      <c r="I95" s="1">
        <v>47924</v>
      </c>
      <c r="J95">
        <v>692000</v>
      </c>
      <c r="K95">
        <v>84</v>
      </c>
      <c r="L95">
        <v>78</v>
      </c>
      <c r="M95">
        <v>6</v>
      </c>
      <c r="N95">
        <v>13.67</v>
      </c>
      <c r="O95">
        <v>12842.27</v>
      </c>
      <c r="P95" t="s">
        <v>139</v>
      </c>
      <c r="Q95">
        <v>624219.17000000004</v>
      </c>
      <c r="R95">
        <v>12842.27</v>
      </c>
      <c r="S95">
        <v>5715.98</v>
      </c>
      <c r="T95" s="1">
        <v>45561</v>
      </c>
      <c r="U95" t="s">
        <v>163</v>
      </c>
      <c r="V95">
        <v>96</v>
      </c>
      <c r="W95">
        <v>6</v>
      </c>
      <c r="X95">
        <v>4</v>
      </c>
      <c r="Y95">
        <v>3</v>
      </c>
      <c r="Z95">
        <v>0</v>
      </c>
      <c r="AA95">
        <v>2</v>
      </c>
      <c r="AB95" t="s">
        <v>125</v>
      </c>
      <c r="AC95" t="s">
        <v>353</v>
      </c>
      <c r="AD95">
        <v>2020</v>
      </c>
      <c r="AE95" t="s">
        <v>90</v>
      </c>
      <c r="AF95" t="b">
        <v>0</v>
      </c>
      <c r="AG95">
        <v>766000</v>
      </c>
      <c r="AH95">
        <v>686128.52</v>
      </c>
      <c r="AI95">
        <v>0.90339999999999998</v>
      </c>
      <c r="AJ95">
        <v>0.87809999999999999</v>
      </c>
      <c r="AK95">
        <v>47</v>
      </c>
      <c r="AL95" t="s">
        <v>132</v>
      </c>
      <c r="AM95">
        <v>2741000</v>
      </c>
      <c r="AN95">
        <v>5.62E-2</v>
      </c>
      <c r="AO95">
        <v>796</v>
      </c>
      <c r="AP95">
        <v>825</v>
      </c>
      <c r="AQ95" t="s">
        <v>100</v>
      </c>
      <c r="AR95" t="s">
        <v>121</v>
      </c>
      <c r="AS95">
        <v>3</v>
      </c>
      <c r="AT95">
        <v>1</v>
      </c>
      <c r="AU95">
        <v>0.4274</v>
      </c>
      <c r="AV95">
        <v>652646.25</v>
      </c>
      <c r="AW95">
        <v>278941.01</v>
      </c>
      <c r="AX95" t="b">
        <v>0</v>
      </c>
      <c r="AY95" t="b">
        <v>0</v>
      </c>
      <c r="AZ95" t="s">
        <v>80</v>
      </c>
      <c r="BA95">
        <v>0</v>
      </c>
      <c r="BB95">
        <v>0</v>
      </c>
      <c r="BC95">
        <v>0</v>
      </c>
      <c r="BD95">
        <v>0</v>
      </c>
      <c r="BE95" t="s">
        <v>134</v>
      </c>
      <c r="BF95" t="b">
        <v>1</v>
      </c>
    </row>
    <row r="96" spans="1:58" x14ac:dyDescent="0.3">
      <c r="A96" t="s">
        <v>354</v>
      </c>
      <c r="B96" t="s">
        <v>67</v>
      </c>
      <c r="C96" t="s">
        <v>355</v>
      </c>
      <c r="D96" t="s">
        <v>84</v>
      </c>
      <c r="E96" t="s">
        <v>85</v>
      </c>
      <c r="F96" t="s">
        <v>124</v>
      </c>
      <c r="G96" s="1">
        <v>44762</v>
      </c>
      <c r="H96" s="1">
        <v>45596</v>
      </c>
      <c r="I96" s="1">
        <v>47282</v>
      </c>
      <c r="J96">
        <v>833600</v>
      </c>
      <c r="K96">
        <v>84</v>
      </c>
      <c r="L96">
        <v>57</v>
      </c>
      <c r="M96">
        <v>27</v>
      </c>
      <c r="N96">
        <v>12.97</v>
      </c>
      <c r="O96">
        <v>15151.23</v>
      </c>
      <c r="P96" t="s">
        <v>72</v>
      </c>
      <c r="Q96">
        <v>518638.49</v>
      </c>
      <c r="R96">
        <v>15151.23</v>
      </c>
      <c r="S96">
        <v>11161.43</v>
      </c>
      <c r="T96" s="1">
        <v>45573</v>
      </c>
      <c r="U96" t="s">
        <v>143</v>
      </c>
      <c r="V96">
        <v>42</v>
      </c>
      <c r="W96">
        <v>27</v>
      </c>
      <c r="X96">
        <v>25</v>
      </c>
      <c r="Y96">
        <v>1</v>
      </c>
      <c r="Z96">
        <v>1</v>
      </c>
      <c r="AA96">
        <v>0</v>
      </c>
      <c r="AB96" t="s">
        <v>97</v>
      </c>
      <c r="AC96" t="s">
        <v>152</v>
      </c>
      <c r="AD96">
        <v>2022</v>
      </c>
      <c r="AE96" t="s">
        <v>99</v>
      </c>
      <c r="AF96" t="b">
        <v>1</v>
      </c>
      <c r="AG96">
        <v>1019000</v>
      </c>
      <c r="AH96">
        <v>622747.06000000006</v>
      </c>
      <c r="AI96">
        <v>0.81810000000000005</v>
      </c>
      <c r="AJ96">
        <v>0.75290000000000001</v>
      </c>
      <c r="AK96">
        <v>33</v>
      </c>
      <c r="AL96" t="s">
        <v>132</v>
      </c>
      <c r="AM96">
        <v>1863000</v>
      </c>
      <c r="AN96">
        <v>9.7600000000000006E-2</v>
      </c>
      <c r="AO96">
        <v>675</v>
      </c>
      <c r="AP96">
        <v>661</v>
      </c>
      <c r="AQ96" t="s">
        <v>78</v>
      </c>
      <c r="AR96" t="s">
        <v>133</v>
      </c>
      <c r="AS96">
        <v>2</v>
      </c>
      <c r="AT96">
        <v>8.6800000000000002E-2</v>
      </c>
      <c r="AU96">
        <v>0.6169</v>
      </c>
      <c r="AV96">
        <v>527234.77</v>
      </c>
      <c r="AW96">
        <v>28231.8</v>
      </c>
      <c r="AX96" t="b">
        <v>0</v>
      </c>
      <c r="AY96" t="b">
        <v>0</v>
      </c>
      <c r="AZ96" t="s">
        <v>80</v>
      </c>
      <c r="BA96">
        <v>0</v>
      </c>
      <c r="BB96">
        <v>0</v>
      </c>
      <c r="BC96">
        <v>0</v>
      </c>
      <c r="BD96">
        <v>0</v>
      </c>
      <c r="BE96" t="s">
        <v>108</v>
      </c>
      <c r="BF96" t="b">
        <v>0</v>
      </c>
    </row>
    <row r="97" spans="1:58" x14ac:dyDescent="0.3">
      <c r="A97" t="s">
        <v>356</v>
      </c>
      <c r="B97" t="s">
        <v>67</v>
      </c>
      <c r="C97" t="s">
        <v>357</v>
      </c>
      <c r="D97" t="s">
        <v>95</v>
      </c>
      <c r="E97" t="s">
        <v>96</v>
      </c>
      <c r="F97" t="s">
        <v>71</v>
      </c>
      <c r="G97" s="1">
        <v>44817</v>
      </c>
      <c r="H97" s="1">
        <v>45596</v>
      </c>
      <c r="I97" s="1">
        <v>46617</v>
      </c>
      <c r="J97">
        <v>800100</v>
      </c>
      <c r="K97">
        <v>60</v>
      </c>
      <c r="L97">
        <v>35</v>
      </c>
      <c r="M97">
        <v>25</v>
      </c>
      <c r="N97">
        <v>14.32</v>
      </c>
      <c r="O97">
        <v>18749.93</v>
      </c>
      <c r="P97" t="s">
        <v>72</v>
      </c>
      <c r="Q97">
        <v>451074.12</v>
      </c>
      <c r="R97">
        <v>18749.93</v>
      </c>
      <c r="S97">
        <v>3010.89</v>
      </c>
      <c r="T97" s="1">
        <v>45593</v>
      </c>
      <c r="U97" t="s">
        <v>131</v>
      </c>
      <c r="V97">
        <v>75</v>
      </c>
      <c r="W97">
        <v>25</v>
      </c>
      <c r="X97">
        <v>23</v>
      </c>
      <c r="Y97">
        <v>1</v>
      </c>
      <c r="Z97">
        <v>0</v>
      </c>
      <c r="AA97">
        <v>1</v>
      </c>
      <c r="AB97" t="s">
        <v>88</v>
      </c>
      <c r="AC97" t="s">
        <v>171</v>
      </c>
      <c r="AD97">
        <v>2022</v>
      </c>
      <c r="AE97" t="s">
        <v>99</v>
      </c>
      <c r="AF97" t="b">
        <v>1</v>
      </c>
      <c r="AG97">
        <v>1177000</v>
      </c>
      <c r="AH97">
        <v>782621.01</v>
      </c>
      <c r="AI97">
        <v>0.67979999999999996</v>
      </c>
      <c r="AJ97">
        <v>0.54749999999999999</v>
      </c>
      <c r="AK97">
        <v>44</v>
      </c>
      <c r="AL97" t="s">
        <v>106</v>
      </c>
      <c r="AM97">
        <v>3262000</v>
      </c>
      <c r="AN97">
        <v>6.9000000000000006E-2</v>
      </c>
      <c r="AO97">
        <v>672</v>
      </c>
      <c r="AP97">
        <v>646</v>
      </c>
      <c r="AQ97" t="s">
        <v>127</v>
      </c>
      <c r="AR97" t="s">
        <v>153</v>
      </c>
      <c r="AS97">
        <v>2</v>
      </c>
      <c r="AT97">
        <v>0.14019999999999999</v>
      </c>
      <c r="AU97">
        <v>0.50729999999999997</v>
      </c>
      <c r="AV97">
        <v>463899.79</v>
      </c>
      <c r="AW97">
        <v>32994.160000000003</v>
      </c>
      <c r="AX97" t="b">
        <v>0</v>
      </c>
      <c r="AY97" t="b">
        <v>0</v>
      </c>
      <c r="AZ97" t="s">
        <v>80</v>
      </c>
      <c r="BA97">
        <v>0</v>
      </c>
      <c r="BB97">
        <v>0</v>
      </c>
      <c r="BC97">
        <v>0</v>
      </c>
      <c r="BD97">
        <v>0</v>
      </c>
      <c r="BE97" t="s">
        <v>108</v>
      </c>
      <c r="BF97" t="b">
        <v>0</v>
      </c>
    </row>
    <row r="98" spans="1:58" x14ac:dyDescent="0.3">
      <c r="A98" t="s">
        <v>358</v>
      </c>
      <c r="B98" t="s">
        <v>67</v>
      </c>
      <c r="C98" t="s">
        <v>359</v>
      </c>
      <c r="D98" t="s">
        <v>69</v>
      </c>
      <c r="E98" t="s">
        <v>70</v>
      </c>
      <c r="F98" t="s">
        <v>71</v>
      </c>
      <c r="G98" s="1">
        <v>45131</v>
      </c>
      <c r="H98" s="1">
        <v>45596</v>
      </c>
      <c r="I98" s="1">
        <v>47291</v>
      </c>
      <c r="J98">
        <v>1368600</v>
      </c>
      <c r="K98">
        <v>72</v>
      </c>
      <c r="L98">
        <v>57</v>
      </c>
      <c r="M98">
        <v>15</v>
      </c>
      <c r="N98">
        <v>11.95</v>
      </c>
      <c r="O98">
        <v>26720.82</v>
      </c>
      <c r="P98" t="s">
        <v>72</v>
      </c>
      <c r="Q98">
        <v>995259.47</v>
      </c>
      <c r="R98">
        <v>26720.82</v>
      </c>
      <c r="S98">
        <v>27695.14</v>
      </c>
      <c r="T98" s="1">
        <v>45596</v>
      </c>
      <c r="U98" t="s">
        <v>73</v>
      </c>
      <c r="V98">
        <v>0</v>
      </c>
      <c r="W98">
        <v>15</v>
      </c>
      <c r="X98">
        <v>15</v>
      </c>
      <c r="Y98">
        <v>0</v>
      </c>
      <c r="Z98">
        <v>0</v>
      </c>
      <c r="AA98">
        <v>0</v>
      </c>
      <c r="AB98" t="s">
        <v>117</v>
      </c>
      <c r="AC98" t="s">
        <v>360</v>
      </c>
      <c r="AD98">
        <v>2023</v>
      </c>
      <c r="AE98" t="s">
        <v>119</v>
      </c>
      <c r="AF98" t="b">
        <v>1</v>
      </c>
      <c r="AG98">
        <v>1795000</v>
      </c>
      <c r="AH98">
        <v>1464274.74</v>
      </c>
      <c r="AI98">
        <v>0.76249999999999996</v>
      </c>
      <c r="AJ98">
        <v>0.67620000000000002</v>
      </c>
      <c r="AK98">
        <v>38</v>
      </c>
      <c r="AL98" t="s">
        <v>106</v>
      </c>
      <c r="AM98">
        <v>2563000</v>
      </c>
      <c r="AN98">
        <v>0.12509999999999999</v>
      </c>
      <c r="AO98">
        <v>771</v>
      </c>
      <c r="AP98">
        <v>796</v>
      </c>
      <c r="AQ98" t="s">
        <v>78</v>
      </c>
      <c r="AR98" t="s">
        <v>133</v>
      </c>
      <c r="AS98">
        <v>1</v>
      </c>
      <c r="AT98">
        <v>2.4299999999999999E-2</v>
      </c>
      <c r="AU98">
        <v>0.54420000000000002</v>
      </c>
      <c r="AV98">
        <v>1028983.6</v>
      </c>
      <c r="AW98">
        <v>13607.34</v>
      </c>
      <c r="AX98" t="b">
        <v>0</v>
      </c>
      <c r="AY98" t="b">
        <v>1</v>
      </c>
      <c r="AZ98" t="s">
        <v>361</v>
      </c>
      <c r="BA98">
        <v>0</v>
      </c>
      <c r="BB98">
        <v>0</v>
      </c>
      <c r="BC98">
        <v>0</v>
      </c>
      <c r="BD98">
        <v>0</v>
      </c>
      <c r="BE98" t="s">
        <v>81</v>
      </c>
      <c r="BF98" t="b">
        <v>1</v>
      </c>
    </row>
    <row r="99" spans="1:58" x14ac:dyDescent="0.3">
      <c r="A99" t="s">
        <v>362</v>
      </c>
      <c r="B99" t="s">
        <v>67</v>
      </c>
      <c r="C99" t="s">
        <v>363</v>
      </c>
      <c r="D99" t="s">
        <v>84</v>
      </c>
      <c r="E99" t="s">
        <v>85</v>
      </c>
      <c r="F99" t="s">
        <v>86</v>
      </c>
      <c r="G99" s="1">
        <v>44467</v>
      </c>
      <c r="H99" s="1">
        <v>45596</v>
      </c>
      <c r="I99" s="1">
        <v>46267</v>
      </c>
      <c r="J99">
        <v>840300</v>
      </c>
      <c r="K99">
        <v>60</v>
      </c>
      <c r="L99">
        <v>23</v>
      </c>
      <c r="M99">
        <v>37</v>
      </c>
      <c r="N99">
        <v>12.49</v>
      </c>
      <c r="O99">
        <v>18900.740000000002</v>
      </c>
      <c r="P99" t="s">
        <v>72</v>
      </c>
      <c r="Q99">
        <v>324178.21999999997</v>
      </c>
      <c r="R99">
        <v>18900.740000000002</v>
      </c>
      <c r="S99">
        <v>19823.78</v>
      </c>
      <c r="T99" s="1">
        <v>45576</v>
      </c>
      <c r="U99" t="s">
        <v>73</v>
      </c>
      <c r="V99">
        <v>0</v>
      </c>
      <c r="W99">
        <v>37</v>
      </c>
      <c r="X99">
        <v>37</v>
      </c>
      <c r="Y99">
        <v>0</v>
      </c>
      <c r="Z99">
        <v>0</v>
      </c>
      <c r="AA99">
        <v>0</v>
      </c>
      <c r="AB99" t="s">
        <v>208</v>
      </c>
      <c r="AC99" t="s">
        <v>364</v>
      </c>
      <c r="AD99">
        <v>2021</v>
      </c>
      <c r="AE99" t="s">
        <v>76</v>
      </c>
      <c r="AF99" t="b">
        <v>1</v>
      </c>
      <c r="AG99">
        <v>953000</v>
      </c>
      <c r="AH99">
        <v>568176.56999999995</v>
      </c>
      <c r="AI99">
        <v>0.88180000000000003</v>
      </c>
      <c r="AJ99">
        <v>0.61180000000000001</v>
      </c>
      <c r="AK99">
        <v>52</v>
      </c>
      <c r="AL99" t="s">
        <v>120</v>
      </c>
      <c r="AM99">
        <v>4302000</v>
      </c>
      <c r="AN99">
        <v>5.2699999999999997E-2</v>
      </c>
      <c r="AO99">
        <v>767</v>
      </c>
      <c r="AP99">
        <v>749</v>
      </c>
      <c r="AQ99" t="s">
        <v>100</v>
      </c>
      <c r="AR99" t="s">
        <v>107</v>
      </c>
      <c r="AS99">
        <v>1</v>
      </c>
      <c r="AT99">
        <v>2.07E-2</v>
      </c>
      <c r="AU99">
        <v>0.52810000000000001</v>
      </c>
      <c r="AV99">
        <v>328760.09999999998</v>
      </c>
      <c r="AW99">
        <v>3593.9</v>
      </c>
      <c r="AX99" t="b">
        <v>0</v>
      </c>
      <c r="AY99" t="b">
        <v>0</v>
      </c>
      <c r="AZ99" t="s">
        <v>80</v>
      </c>
      <c r="BA99">
        <v>0</v>
      </c>
      <c r="BB99">
        <v>0</v>
      </c>
      <c r="BC99">
        <v>0</v>
      </c>
      <c r="BD99">
        <v>0</v>
      </c>
      <c r="BE99" t="s">
        <v>134</v>
      </c>
      <c r="BF99" t="b">
        <v>1</v>
      </c>
    </row>
    <row r="100" spans="1:58" x14ac:dyDescent="0.3">
      <c r="A100" t="s">
        <v>365</v>
      </c>
      <c r="B100" t="s">
        <v>67</v>
      </c>
      <c r="C100" t="s">
        <v>366</v>
      </c>
      <c r="D100" t="s">
        <v>95</v>
      </c>
      <c r="E100" t="s">
        <v>96</v>
      </c>
      <c r="F100" t="s">
        <v>71</v>
      </c>
      <c r="G100" s="1">
        <v>44731</v>
      </c>
      <c r="H100" s="1">
        <v>45596</v>
      </c>
      <c r="I100" s="1">
        <v>46171</v>
      </c>
      <c r="J100">
        <v>621300</v>
      </c>
      <c r="K100">
        <v>48</v>
      </c>
      <c r="L100">
        <v>20</v>
      </c>
      <c r="M100">
        <v>28</v>
      </c>
      <c r="N100">
        <v>12.55</v>
      </c>
      <c r="O100">
        <v>16529.490000000002</v>
      </c>
      <c r="P100" t="s">
        <v>139</v>
      </c>
      <c r="Q100">
        <v>258437.52</v>
      </c>
      <c r="R100">
        <v>16529.490000000002</v>
      </c>
      <c r="S100">
        <v>16901.71</v>
      </c>
      <c r="T100" s="1">
        <v>45561</v>
      </c>
      <c r="U100" t="s">
        <v>73</v>
      </c>
      <c r="V100">
        <v>0</v>
      </c>
      <c r="W100">
        <v>28</v>
      </c>
      <c r="X100">
        <v>28</v>
      </c>
      <c r="Y100">
        <v>0</v>
      </c>
      <c r="Z100">
        <v>0</v>
      </c>
      <c r="AA100">
        <v>0</v>
      </c>
      <c r="AB100" t="s">
        <v>88</v>
      </c>
      <c r="AC100" t="s">
        <v>89</v>
      </c>
      <c r="AD100">
        <v>2020</v>
      </c>
      <c r="AE100" t="s">
        <v>99</v>
      </c>
      <c r="AF100" t="b">
        <v>0</v>
      </c>
      <c r="AG100">
        <v>767000</v>
      </c>
      <c r="AH100">
        <v>536068.22</v>
      </c>
      <c r="AI100">
        <v>0.81</v>
      </c>
      <c r="AJ100">
        <v>0.50739999999999996</v>
      </c>
      <c r="AK100">
        <v>40</v>
      </c>
      <c r="AL100" t="s">
        <v>120</v>
      </c>
      <c r="AM100">
        <v>2202000</v>
      </c>
      <c r="AN100">
        <v>9.01E-2</v>
      </c>
      <c r="AO100">
        <v>838</v>
      </c>
      <c r="AP100">
        <v>792</v>
      </c>
      <c r="AQ100" t="s">
        <v>78</v>
      </c>
      <c r="AR100" t="s">
        <v>79</v>
      </c>
      <c r="AS100">
        <v>1</v>
      </c>
      <c r="AT100">
        <v>2.41E-2</v>
      </c>
      <c r="AU100">
        <v>0.6129</v>
      </c>
      <c r="AV100">
        <v>260778.14</v>
      </c>
      <c r="AW100">
        <v>3851.93</v>
      </c>
      <c r="AX100" t="b">
        <v>0</v>
      </c>
      <c r="AY100" t="b">
        <v>0</v>
      </c>
      <c r="AZ100" t="s">
        <v>80</v>
      </c>
      <c r="BA100">
        <v>0</v>
      </c>
      <c r="BB100">
        <v>0</v>
      </c>
      <c r="BC100">
        <v>0</v>
      </c>
      <c r="BD100">
        <v>0</v>
      </c>
      <c r="BE100" t="s">
        <v>134</v>
      </c>
      <c r="BF100" t="b">
        <v>1</v>
      </c>
    </row>
    <row r="101" spans="1:58" x14ac:dyDescent="0.3">
      <c r="A101" t="s">
        <v>367</v>
      </c>
      <c r="B101" t="s">
        <v>67</v>
      </c>
      <c r="C101" t="s">
        <v>368</v>
      </c>
      <c r="D101" t="s">
        <v>69</v>
      </c>
      <c r="E101" t="s">
        <v>70</v>
      </c>
      <c r="F101" t="s">
        <v>71</v>
      </c>
      <c r="G101" s="1">
        <v>44571</v>
      </c>
      <c r="H101" s="1">
        <v>45596</v>
      </c>
      <c r="I101" s="1">
        <v>46371</v>
      </c>
      <c r="J101">
        <v>1161700</v>
      </c>
      <c r="K101">
        <v>60</v>
      </c>
      <c r="L101">
        <v>27</v>
      </c>
      <c r="M101">
        <v>33</v>
      </c>
      <c r="N101">
        <v>10.1</v>
      </c>
      <c r="O101">
        <v>24739.89</v>
      </c>
      <c r="P101" t="s">
        <v>72</v>
      </c>
      <c r="Q101">
        <v>516405.88</v>
      </c>
      <c r="R101">
        <v>24739.89</v>
      </c>
      <c r="S101">
        <v>24634.92</v>
      </c>
      <c r="T101" s="1">
        <v>45576</v>
      </c>
      <c r="U101" t="s">
        <v>73</v>
      </c>
      <c r="V101">
        <v>0</v>
      </c>
      <c r="W101">
        <v>33</v>
      </c>
      <c r="X101">
        <v>33</v>
      </c>
      <c r="Y101">
        <v>0</v>
      </c>
      <c r="Z101">
        <v>0</v>
      </c>
      <c r="AA101">
        <v>0</v>
      </c>
      <c r="AB101" t="s">
        <v>111</v>
      </c>
      <c r="AC101" t="s">
        <v>251</v>
      </c>
      <c r="AD101">
        <v>2022</v>
      </c>
      <c r="AE101" t="s">
        <v>76</v>
      </c>
      <c r="AF101" t="b">
        <v>1</v>
      </c>
      <c r="AG101">
        <v>1642000</v>
      </c>
      <c r="AH101">
        <v>1063650.1399999999</v>
      </c>
      <c r="AI101">
        <v>0.70750000000000002</v>
      </c>
      <c r="AJ101">
        <v>0.52070000000000005</v>
      </c>
      <c r="AK101">
        <v>31</v>
      </c>
      <c r="AL101" t="s">
        <v>120</v>
      </c>
      <c r="AM101">
        <v>552000</v>
      </c>
      <c r="AN101">
        <v>0.53779999999999994</v>
      </c>
      <c r="AO101">
        <v>812</v>
      </c>
      <c r="AP101">
        <v>836</v>
      </c>
      <c r="AQ101" t="s">
        <v>78</v>
      </c>
      <c r="AR101" t="s">
        <v>79</v>
      </c>
      <c r="AS101">
        <v>1</v>
      </c>
      <c r="AT101">
        <v>1.5599999999999999E-2</v>
      </c>
      <c r="AU101">
        <v>0.41010000000000002</v>
      </c>
      <c r="AV101">
        <v>526971.32999999996</v>
      </c>
      <c r="AW101">
        <v>3371.33</v>
      </c>
      <c r="AX101" t="b">
        <v>0</v>
      </c>
      <c r="AY101" t="b">
        <v>0</v>
      </c>
      <c r="AZ101" t="s">
        <v>80</v>
      </c>
      <c r="BA101">
        <v>0</v>
      </c>
      <c r="BB101">
        <v>0</v>
      </c>
      <c r="BC101">
        <v>0</v>
      </c>
      <c r="BD101">
        <v>0</v>
      </c>
      <c r="BE101" t="s">
        <v>108</v>
      </c>
      <c r="BF101" t="b">
        <v>0</v>
      </c>
    </row>
    <row r="102" spans="1:58" x14ac:dyDescent="0.3">
      <c r="A102" t="s">
        <v>369</v>
      </c>
      <c r="B102" t="s">
        <v>67</v>
      </c>
      <c r="C102" t="s">
        <v>370</v>
      </c>
      <c r="D102" t="s">
        <v>84</v>
      </c>
      <c r="E102" t="s">
        <v>85</v>
      </c>
      <c r="F102" t="s">
        <v>86</v>
      </c>
      <c r="G102" s="1">
        <v>44566</v>
      </c>
      <c r="H102" s="1">
        <v>45596</v>
      </c>
      <c r="I102" s="1">
        <v>46726</v>
      </c>
      <c r="J102">
        <v>644500</v>
      </c>
      <c r="K102">
        <v>72</v>
      </c>
      <c r="L102">
        <v>39</v>
      </c>
      <c r="M102">
        <v>33</v>
      </c>
      <c r="N102">
        <v>9.41</v>
      </c>
      <c r="O102">
        <v>11749.04</v>
      </c>
      <c r="P102" t="s">
        <v>72</v>
      </c>
      <c r="Q102">
        <v>354054.11</v>
      </c>
      <c r="R102">
        <v>11749.04</v>
      </c>
      <c r="S102">
        <v>11897.88</v>
      </c>
      <c r="T102" s="1">
        <v>45581</v>
      </c>
      <c r="U102" t="s">
        <v>73</v>
      </c>
      <c r="V102">
        <v>0</v>
      </c>
      <c r="W102">
        <v>33</v>
      </c>
      <c r="X102">
        <v>33</v>
      </c>
      <c r="Y102">
        <v>0</v>
      </c>
      <c r="Z102">
        <v>0</v>
      </c>
      <c r="AA102">
        <v>0</v>
      </c>
      <c r="AB102" t="s">
        <v>74</v>
      </c>
      <c r="AC102" t="s">
        <v>188</v>
      </c>
      <c r="AD102">
        <v>2022</v>
      </c>
      <c r="AE102" t="s">
        <v>76</v>
      </c>
      <c r="AF102" t="b">
        <v>1</v>
      </c>
      <c r="AG102">
        <v>1039000</v>
      </c>
      <c r="AH102">
        <v>593199.28</v>
      </c>
      <c r="AI102">
        <v>0.62029999999999996</v>
      </c>
      <c r="AJ102">
        <v>0.56420000000000003</v>
      </c>
      <c r="AK102">
        <v>60</v>
      </c>
      <c r="AL102" t="s">
        <v>77</v>
      </c>
      <c r="AM102">
        <v>2601000</v>
      </c>
      <c r="AN102">
        <v>5.4199999999999998E-2</v>
      </c>
      <c r="AO102">
        <v>845</v>
      </c>
      <c r="AP102">
        <v>806</v>
      </c>
      <c r="AQ102" t="s">
        <v>100</v>
      </c>
      <c r="AR102" t="s">
        <v>149</v>
      </c>
      <c r="AS102">
        <v>1</v>
      </c>
      <c r="AT102">
        <v>2.5399999999999999E-2</v>
      </c>
      <c r="AU102">
        <v>0.61760000000000004</v>
      </c>
      <c r="AV102">
        <v>367452.36</v>
      </c>
      <c r="AW102">
        <v>5764.24</v>
      </c>
      <c r="AX102" t="b">
        <v>0</v>
      </c>
      <c r="AY102" t="b">
        <v>0</v>
      </c>
      <c r="AZ102" t="s">
        <v>80</v>
      </c>
      <c r="BA102">
        <v>0</v>
      </c>
      <c r="BB102">
        <v>0</v>
      </c>
      <c r="BC102">
        <v>0</v>
      </c>
      <c r="BD102">
        <v>0</v>
      </c>
      <c r="BE102" t="s">
        <v>81</v>
      </c>
      <c r="BF102" t="b">
        <v>1</v>
      </c>
    </row>
    <row r="103" spans="1:58" x14ac:dyDescent="0.3">
      <c r="A103" t="s">
        <v>371</v>
      </c>
      <c r="B103" t="s">
        <v>67</v>
      </c>
      <c r="C103" t="s">
        <v>372</v>
      </c>
      <c r="D103" t="s">
        <v>69</v>
      </c>
      <c r="E103" t="s">
        <v>70</v>
      </c>
      <c r="F103" t="s">
        <v>124</v>
      </c>
      <c r="G103" s="1">
        <v>44902</v>
      </c>
      <c r="H103" s="1">
        <v>45596</v>
      </c>
      <c r="I103" s="1">
        <v>47062</v>
      </c>
      <c r="J103">
        <v>332000</v>
      </c>
      <c r="K103">
        <v>72</v>
      </c>
      <c r="L103">
        <v>50</v>
      </c>
      <c r="M103">
        <v>22</v>
      </c>
      <c r="N103">
        <v>12.59</v>
      </c>
      <c r="O103">
        <v>6592.98</v>
      </c>
      <c r="P103" t="s">
        <v>139</v>
      </c>
      <c r="Q103">
        <v>228124.46</v>
      </c>
      <c r="R103">
        <v>6592.98</v>
      </c>
      <c r="S103">
        <v>4410.0200000000004</v>
      </c>
      <c r="T103" s="1">
        <v>45593</v>
      </c>
      <c r="U103" t="s">
        <v>163</v>
      </c>
      <c r="V103">
        <v>97</v>
      </c>
      <c r="W103">
        <v>22</v>
      </c>
      <c r="X103">
        <v>20</v>
      </c>
      <c r="Y103">
        <v>1</v>
      </c>
      <c r="Z103">
        <v>0</v>
      </c>
      <c r="AA103">
        <v>1</v>
      </c>
      <c r="AB103" t="s">
        <v>88</v>
      </c>
      <c r="AC103" t="s">
        <v>89</v>
      </c>
      <c r="AD103">
        <v>2017</v>
      </c>
      <c r="AE103" t="s">
        <v>90</v>
      </c>
      <c r="AF103" t="b">
        <v>0</v>
      </c>
      <c r="AG103">
        <v>539000</v>
      </c>
      <c r="AH103">
        <v>411758.9</v>
      </c>
      <c r="AI103">
        <v>0.61599999999999999</v>
      </c>
      <c r="AJ103">
        <v>0.57499999999999996</v>
      </c>
      <c r="AK103">
        <v>50</v>
      </c>
      <c r="AL103" t="s">
        <v>77</v>
      </c>
      <c r="AM103">
        <v>1911000</v>
      </c>
      <c r="AN103">
        <v>4.1399999999999999E-2</v>
      </c>
      <c r="AO103">
        <v>775</v>
      </c>
      <c r="AP103">
        <v>770</v>
      </c>
      <c r="AQ103" t="s">
        <v>100</v>
      </c>
      <c r="AR103" t="s">
        <v>229</v>
      </c>
      <c r="AS103">
        <v>3</v>
      </c>
      <c r="AT103">
        <v>1</v>
      </c>
      <c r="AU103">
        <v>0.42670000000000002</v>
      </c>
      <c r="AV103">
        <v>234223.75</v>
      </c>
      <c r="AW103">
        <v>99943.27</v>
      </c>
      <c r="AX103" t="b">
        <v>0</v>
      </c>
      <c r="AY103" t="b">
        <v>0</v>
      </c>
      <c r="AZ103" t="s">
        <v>80</v>
      </c>
      <c r="BA103">
        <v>0</v>
      </c>
      <c r="BB103">
        <v>0</v>
      </c>
      <c r="BC103">
        <v>0</v>
      </c>
      <c r="BD103">
        <v>19673.72</v>
      </c>
      <c r="BE103" t="s">
        <v>108</v>
      </c>
      <c r="BF103" t="b">
        <v>1</v>
      </c>
    </row>
    <row r="104" spans="1:58" x14ac:dyDescent="0.3">
      <c r="A104" t="s">
        <v>373</v>
      </c>
      <c r="B104" t="s">
        <v>67</v>
      </c>
      <c r="C104" t="s">
        <v>374</v>
      </c>
      <c r="D104" t="s">
        <v>84</v>
      </c>
      <c r="E104" t="s">
        <v>85</v>
      </c>
      <c r="F104" t="s">
        <v>71</v>
      </c>
      <c r="G104" s="1">
        <v>45050</v>
      </c>
      <c r="H104" s="1">
        <v>45596</v>
      </c>
      <c r="I104" s="1">
        <v>46850</v>
      </c>
      <c r="J104">
        <v>1271800</v>
      </c>
      <c r="K104">
        <v>60</v>
      </c>
      <c r="L104">
        <v>43</v>
      </c>
      <c r="M104">
        <v>17</v>
      </c>
      <c r="N104">
        <v>10.45</v>
      </c>
      <c r="O104">
        <v>27304.45</v>
      </c>
      <c r="P104" t="s">
        <v>116</v>
      </c>
      <c r="Q104">
        <v>834116.81</v>
      </c>
      <c r="R104">
        <v>27304.45</v>
      </c>
      <c r="S104">
        <v>27818.33</v>
      </c>
      <c r="T104" s="1">
        <v>45566</v>
      </c>
      <c r="U104" t="s">
        <v>73</v>
      </c>
      <c r="V104">
        <v>0</v>
      </c>
      <c r="W104">
        <v>17</v>
      </c>
      <c r="X104">
        <v>17</v>
      </c>
      <c r="Y104">
        <v>0</v>
      </c>
      <c r="Z104">
        <v>0</v>
      </c>
      <c r="AA104">
        <v>0</v>
      </c>
      <c r="AB104" t="s">
        <v>164</v>
      </c>
      <c r="AC104" t="s">
        <v>165</v>
      </c>
      <c r="AD104">
        <v>2020</v>
      </c>
      <c r="AE104" t="s">
        <v>166</v>
      </c>
      <c r="AF104" t="b">
        <v>0</v>
      </c>
      <c r="AG104">
        <v>1514000</v>
      </c>
      <c r="AH104">
        <v>1164314.5900000001</v>
      </c>
      <c r="AI104">
        <v>0.84</v>
      </c>
      <c r="AJ104">
        <v>0.69210000000000005</v>
      </c>
      <c r="AK104">
        <v>40</v>
      </c>
      <c r="AL104" t="s">
        <v>77</v>
      </c>
      <c r="AM104">
        <v>2268000</v>
      </c>
      <c r="AN104">
        <v>0.14449999999999999</v>
      </c>
      <c r="AO104">
        <v>676</v>
      </c>
      <c r="AP104">
        <v>691</v>
      </c>
      <c r="AQ104" t="s">
        <v>78</v>
      </c>
      <c r="AR104" t="s">
        <v>79</v>
      </c>
      <c r="AS104">
        <v>1</v>
      </c>
      <c r="AT104">
        <v>1.83E-2</v>
      </c>
      <c r="AU104">
        <v>0.47289999999999999</v>
      </c>
      <c r="AV104">
        <v>840805.33</v>
      </c>
      <c r="AW104">
        <v>7276.39</v>
      </c>
      <c r="AX104" t="b">
        <v>0</v>
      </c>
      <c r="AY104" t="b">
        <v>0</v>
      </c>
      <c r="AZ104" t="s">
        <v>80</v>
      </c>
      <c r="BA104">
        <v>0</v>
      </c>
      <c r="BB104">
        <v>0</v>
      </c>
      <c r="BC104">
        <v>0</v>
      </c>
      <c r="BD104">
        <v>0</v>
      </c>
      <c r="BE104" t="s">
        <v>108</v>
      </c>
      <c r="BF104" t="b">
        <v>0</v>
      </c>
    </row>
    <row r="105" spans="1:58" x14ac:dyDescent="0.3">
      <c r="A105" t="s">
        <v>375</v>
      </c>
      <c r="B105" t="s">
        <v>67</v>
      </c>
      <c r="C105" t="s">
        <v>376</v>
      </c>
      <c r="D105" t="s">
        <v>95</v>
      </c>
      <c r="E105" t="s">
        <v>96</v>
      </c>
      <c r="F105" t="s">
        <v>115</v>
      </c>
      <c r="G105" s="1">
        <v>44202</v>
      </c>
      <c r="H105" s="1">
        <v>45596</v>
      </c>
      <c r="I105" s="1">
        <v>45282</v>
      </c>
      <c r="J105">
        <v>936600</v>
      </c>
      <c r="K105">
        <v>36</v>
      </c>
      <c r="L105">
        <v>0</v>
      </c>
      <c r="M105">
        <v>45</v>
      </c>
      <c r="N105">
        <v>12.96</v>
      </c>
      <c r="O105">
        <v>31539.71</v>
      </c>
      <c r="P105" t="s">
        <v>72</v>
      </c>
      <c r="Q105">
        <v>0</v>
      </c>
      <c r="R105">
        <v>31539.71</v>
      </c>
      <c r="S105">
        <v>30999.31</v>
      </c>
      <c r="T105" s="1">
        <v>45568</v>
      </c>
      <c r="U105" t="s">
        <v>73</v>
      </c>
      <c r="V105">
        <v>0</v>
      </c>
      <c r="W105">
        <v>45</v>
      </c>
      <c r="X105">
        <v>45</v>
      </c>
      <c r="Y105">
        <v>0</v>
      </c>
      <c r="Z105">
        <v>0</v>
      </c>
      <c r="AA105">
        <v>0</v>
      </c>
      <c r="AB105" t="s">
        <v>117</v>
      </c>
      <c r="AC105" t="s">
        <v>377</v>
      </c>
      <c r="AD105">
        <v>2021</v>
      </c>
      <c r="AE105" t="s">
        <v>90</v>
      </c>
      <c r="AF105" t="b">
        <v>1</v>
      </c>
      <c r="AG105">
        <v>1436000</v>
      </c>
      <c r="AH105">
        <v>720682.74</v>
      </c>
      <c r="AI105">
        <v>0.6522</v>
      </c>
      <c r="AJ105">
        <v>0</v>
      </c>
      <c r="AK105">
        <v>31</v>
      </c>
      <c r="AL105" t="s">
        <v>106</v>
      </c>
      <c r="AM105">
        <v>2610000</v>
      </c>
      <c r="AN105">
        <v>0.14499999999999999</v>
      </c>
      <c r="AO105">
        <v>725</v>
      </c>
      <c r="AP105">
        <v>708</v>
      </c>
      <c r="AQ105" t="s">
        <v>127</v>
      </c>
      <c r="AR105" t="s">
        <v>128</v>
      </c>
      <c r="AS105">
        <v>1</v>
      </c>
      <c r="AT105">
        <v>1.5100000000000001E-2</v>
      </c>
      <c r="AU105">
        <v>0.57750000000000001</v>
      </c>
      <c r="AV105">
        <v>0</v>
      </c>
      <c r="AW105">
        <v>0</v>
      </c>
      <c r="AX105" t="b">
        <v>0</v>
      </c>
      <c r="AY105" t="b">
        <v>0</v>
      </c>
      <c r="AZ105" t="s">
        <v>80</v>
      </c>
      <c r="BA105">
        <v>0</v>
      </c>
      <c r="BB105">
        <v>0</v>
      </c>
      <c r="BC105">
        <v>0</v>
      </c>
      <c r="BD105">
        <v>0</v>
      </c>
      <c r="BE105" t="s">
        <v>81</v>
      </c>
      <c r="BF105" t="b">
        <v>1</v>
      </c>
    </row>
    <row r="106" spans="1:58" x14ac:dyDescent="0.3">
      <c r="A106" t="s">
        <v>378</v>
      </c>
      <c r="B106" t="s">
        <v>67</v>
      </c>
      <c r="C106" t="s">
        <v>379</v>
      </c>
      <c r="D106" t="s">
        <v>95</v>
      </c>
      <c r="E106" t="s">
        <v>96</v>
      </c>
      <c r="F106" t="s">
        <v>115</v>
      </c>
      <c r="G106" s="1">
        <v>44746</v>
      </c>
      <c r="H106" s="1">
        <v>45596</v>
      </c>
      <c r="I106" s="1">
        <v>46906</v>
      </c>
      <c r="J106">
        <v>561700</v>
      </c>
      <c r="K106">
        <v>72</v>
      </c>
      <c r="L106">
        <v>45</v>
      </c>
      <c r="M106">
        <v>27</v>
      </c>
      <c r="N106">
        <v>9.4</v>
      </c>
      <c r="O106">
        <v>10236.81</v>
      </c>
      <c r="P106" t="s">
        <v>72</v>
      </c>
      <c r="Q106">
        <v>336267.79</v>
      </c>
      <c r="R106">
        <v>10236.81</v>
      </c>
      <c r="S106">
        <v>924.9</v>
      </c>
      <c r="T106" s="1">
        <v>45570</v>
      </c>
      <c r="U106" t="s">
        <v>380</v>
      </c>
      <c r="V106">
        <v>694</v>
      </c>
      <c r="W106">
        <v>27</v>
      </c>
      <c r="X106">
        <v>21</v>
      </c>
      <c r="Y106">
        <v>3</v>
      </c>
      <c r="Z106">
        <v>0</v>
      </c>
      <c r="AA106">
        <v>2</v>
      </c>
      <c r="AB106" t="s">
        <v>74</v>
      </c>
      <c r="AC106" t="s">
        <v>260</v>
      </c>
      <c r="AD106">
        <v>2022</v>
      </c>
      <c r="AE106" t="s">
        <v>76</v>
      </c>
      <c r="AF106" t="b">
        <v>1</v>
      </c>
      <c r="AG106">
        <v>759000</v>
      </c>
      <c r="AH106">
        <v>506997.58</v>
      </c>
      <c r="AI106">
        <v>0.74009999999999998</v>
      </c>
      <c r="AJ106">
        <v>0.65539999999999998</v>
      </c>
      <c r="AK106">
        <v>54</v>
      </c>
      <c r="AL106" t="s">
        <v>120</v>
      </c>
      <c r="AM106">
        <v>3350000</v>
      </c>
      <c r="AN106">
        <v>3.6700000000000003E-2</v>
      </c>
      <c r="AO106">
        <v>692</v>
      </c>
      <c r="AP106">
        <v>656</v>
      </c>
      <c r="AQ106" t="s">
        <v>100</v>
      </c>
      <c r="AR106" t="s">
        <v>121</v>
      </c>
      <c r="AS106">
        <v>3</v>
      </c>
      <c r="AT106">
        <v>1</v>
      </c>
      <c r="AU106">
        <v>0.61399999999999999</v>
      </c>
      <c r="AV106">
        <v>348495.81</v>
      </c>
      <c r="AW106">
        <v>213976.43</v>
      </c>
      <c r="AX106" t="b">
        <v>1</v>
      </c>
      <c r="AY106" t="b">
        <v>0</v>
      </c>
      <c r="AZ106" t="s">
        <v>80</v>
      </c>
      <c r="BA106">
        <v>0</v>
      </c>
      <c r="BB106">
        <v>0</v>
      </c>
      <c r="BC106">
        <v>0</v>
      </c>
      <c r="BD106">
        <v>0</v>
      </c>
      <c r="BE106" t="s">
        <v>134</v>
      </c>
      <c r="BF106" t="b">
        <v>1</v>
      </c>
    </row>
    <row r="107" spans="1:58" x14ac:dyDescent="0.3">
      <c r="A107" t="s">
        <v>381</v>
      </c>
      <c r="B107" t="s">
        <v>67</v>
      </c>
      <c r="C107" t="s">
        <v>382</v>
      </c>
      <c r="D107" t="s">
        <v>69</v>
      </c>
      <c r="E107" t="s">
        <v>70</v>
      </c>
      <c r="F107" t="s">
        <v>115</v>
      </c>
      <c r="G107" s="1">
        <v>44326</v>
      </c>
      <c r="H107" s="1">
        <v>45596</v>
      </c>
      <c r="I107" s="1">
        <v>46846</v>
      </c>
      <c r="J107">
        <v>1238000</v>
      </c>
      <c r="K107">
        <v>84</v>
      </c>
      <c r="L107">
        <v>43</v>
      </c>
      <c r="M107">
        <v>41</v>
      </c>
      <c r="N107">
        <v>9.07</v>
      </c>
      <c r="O107">
        <v>19962.29</v>
      </c>
      <c r="P107" t="s">
        <v>72</v>
      </c>
      <c r="Q107">
        <v>661219.65</v>
      </c>
      <c r="R107">
        <v>19962.29</v>
      </c>
      <c r="S107">
        <v>10273.67</v>
      </c>
      <c r="T107" s="1">
        <v>45571</v>
      </c>
      <c r="U107" t="s">
        <v>87</v>
      </c>
      <c r="V107">
        <v>18</v>
      </c>
      <c r="W107">
        <v>41</v>
      </c>
      <c r="X107">
        <v>40</v>
      </c>
      <c r="Y107">
        <v>3</v>
      </c>
      <c r="Z107">
        <v>0</v>
      </c>
      <c r="AA107">
        <v>0</v>
      </c>
      <c r="AB107" t="s">
        <v>88</v>
      </c>
      <c r="AC107" t="s">
        <v>181</v>
      </c>
      <c r="AD107">
        <v>2021</v>
      </c>
      <c r="AE107" t="s">
        <v>90</v>
      </c>
      <c r="AF107" t="b">
        <v>1</v>
      </c>
      <c r="AG107">
        <v>1544000</v>
      </c>
      <c r="AH107">
        <v>834096.12</v>
      </c>
      <c r="AI107">
        <v>0.80179999999999996</v>
      </c>
      <c r="AJ107">
        <v>0.84299999999999997</v>
      </c>
      <c r="AK107">
        <v>58</v>
      </c>
      <c r="AL107" t="s">
        <v>132</v>
      </c>
      <c r="AM107">
        <v>2289000</v>
      </c>
      <c r="AN107">
        <v>0.1047</v>
      </c>
      <c r="AO107">
        <v>773</v>
      </c>
      <c r="AP107">
        <v>767</v>
      </c>
      <c r="AQ107" t="s">
        <v>127</v>
      </c>
      <c r="AR107" t="s">
        <v>153</v>
      </c>
      <c r="AS107">
        <v>1</v>
      </c>
      <c r="AT107">
        <v>2.3E-2</v>
      </c>
      <c r="AU107">
        <v>0.44619999999999999</v>
      </c>
      <c r="AV107">
        <v>672159.36</v>
      </c>
      <c r="AW107">
        <v>6898.1</v>
      </c>
      <c r="AX107" t="b">
        <v>0</v>
      </c>
      <c r="AY107" t="b">
        <v>0</v>
      </c>
      <c r="AZ107" t="s">
        <v>80</v>
      </c>
      <c r="BA107">
        <v>0</v>
      </c>
      <c r="BB107">
        <v>0</v>
      </c>
      <c r="BC107">
        <v>0</v>
      </c>
      <c r="BD107">
        <v>0</v>
      </c>
      <c r="BE107" t="s">
        <v>108</v>
      </c>
      <c r="BF107" t="b">
        <v>1</v>
      </c>
    </row>
    <row r="108" spans="1:58" x14ac:dyDescent="0.3">
      <c r="A108" t="s">
        <v>383</v>
      </c>
      <c r="B108" t="s">
        <v>67</v>
      </c>
      <c r="C108" t="s">
        <v>384</v>
      </c>
      <c r="D108" t="s">
        <v>95</v>
      </c>
      <c r="E108" t="s">
        <v>96</v>
      </c>
      <c r="F108" t="s">
        <v>86</v>
      </c>
      <c r="G108" s="1">
        <v>44358</v>
      </c>
      <c r="H108" s="1">
        <v>45596</v>
      </c>
      <c r="I108" s="1">
        <v>46158</v>
      </c>
      <c r="J108">
        <v>803900</v>
      </c>
      <c r="K108">
        <v>60</v>
      </c>
      <c r="L108">
        <v>20</v>
      </c>
      <c r="M108">
        <v>40</v>
      </c>
      <c r="N108">
        <v>8.33</v>
      </c>
      <c r="O108">
        <v>16427.45</v>
      </c>
      <c r="P108" t="s">
        <v>72</v>
      </c>
      <c r="Q108">
        <v>261161.92</v>
      </c>
      <c r="R108">
        <v>16427.45</v>
      </c>
      <c r="S108">
        <v>1498.49</v>
      </c>
      <c r="T108" s="1">
        <v>45582</v>
      </c>
      <c r="U108" t="s">
        <v>140</v>
      </c>
      <c r="V108">
        <v>263</v>
      </c>
      <c r="W108">
        <v>40</v>
      </c>
      <c r="X108">
        <v>35</v>
      </c>
      <c r="Y108">
        <v>2</v>
      </c>
      <c r="Z108">
        <v>1</v>
      </c>
      <c r="AA108">
        <v>0</v>
      </c>
      <c r="AB108" t="s">
        <v>164</v>
      </c>
      <c r="AC108" t="s">
        <v>165</v>
      </c>
      <c r="AD108">
        <v>2021</v>
      </c>
      <c r="AE108" t="s">
        <v>166</v>
      </c>
      <c r="AF108" t="b">
        <v>1</v>
      </c>
      <c r="AG108">
        <v>1038000</v>
      </c>
      <c r="AH108">
        <v>486021.16</v>
      </c>
      <c r="AI108">
        <v>0.77449999999999997</v>
      </c>
      <c r="AJ108">
        <v>0.48380000000000001</v>
      </c>
      <c r="AK108">
        <v>26</v>
      </c>
      <c r="AL108" t="s">
        <v>132</v>
      </c>
      <c r="AM108">
        <v>493000</v>
      </c>
      <c r="AN108">
        <v>0.39989999999999998</v>
      </c>
      <c r="AO108">
        <v>790</v>
      </c>
      <c r="AP108">
        <v>740</v>
      </c>
      <c r="AQ108" t="s">
        <v>145</v>
      </c>
      <c r="AR108" t="s">
        <v>203</v>
      </c>
      <c r="AS108">
        <v>3</v>
      </c>
      <c r="AT108">
        <v>0.88070000000000004</v>
      </c>
      <c r="AU108">
        <v>0.53590000000000004</v>
      </c>
      <c r="AV108">
        <v>267340.15000000002</v>
      </c>
      <c r="AW108">
        <v>126175.76</v>
      </c>
      <c r="AX108" t="b">
        <v>0</v>
      </c>
      <c r="AY108" t="b">
        <v>0</v>
      </c>
      <c r="AZ108" t="s">
        <v>80</v>
      </c>
      <c r="BA108">
        <v>0</v>
      </c>
      <c r="BB108">
        <v>0</v>
      </c>
      <c r="BC108">
        <v>0</v>
      </c>
      <c r="BD108">
        <v>0</v>
      </c>
      <c r="BE108" t="s">
        <v>108</v>
      </c>
      <c r="BF108" t="b">
        <v>0</v>
      </c>
    </row>
    <row r="109" spans="1:58" x14ac:dyDescent="0.3">
      <c r="A109" t="s">
        <v>385</v>
      </c>
      <c r="B109" t="s">
        <v>67</v>
      </c>
      <c r="C109" t="s">
        <v>386</v>
      </c>
      <c r="D109" t="s">
        <v>95</v>
      </c>
      <c r="E109" t="s">
        <v>96</v>
      </c>
      <c r="F109" t="s">
        <v>124</v>
      </c>
      <c r="G109" s="1">
        <v>44924</v>
      </c>
      <c r="H109" s="1">
        <v>45596</v>
      </c>
      <c r="I109" s="1">
        <v>46364</v>
      </c>
      <c r="J109">
        <v>255700</v>
      </c>
      <c r="K109">
        <v>48</v>
      </c>
      <c r="L109">
        <v>26</v>
      </c>
      <c r="M109">
        <v>22</v>
      </c>
      <c r="N109">
        <v>13.25</v>
      </c>
      <c r="O109">
        <v>6891.56</v>
      </c>
      <c r="P109" t="s">
        <v>72</v>
      </c>
      <c r="Q109">
        <v>140079.88</v>
      </c>
      <c r="R109">
        <v>6891.56</v>
      </c>
      <c r="S109">
        <v>6928.24</v>
      </c>
      <c r="T109" s="1">
        <v>45569</v>
      </c>
      <c r="U109" t="s">
        <v>73</v>
      </c>
      <c r="V109">
        <v>0</v>
      </c>
      <c r="W109">
        <v>22</v>
      </c>
      <c r="X109">
        <v>22</v>
      </c>
      <c r="Y109">
        <v>0</v>
      </c>
      <c r="Z109">
        <v>0</v>
      </c>
      <c r="AA109">
        <v>0</v>
      </c>
      <c r="AB109" t="s">
        <v>88</v>
      </c>
      <c r="AC109" t="s">
        <v>181</v>
      </c>
      <c r="AD109">
        <v>2022</v>
      </c>
      <c r="AE109" t="s">
        <v>99</v>
      </c>
      <c r="AF109" t="b">
        <v>1</v>
      </c>
      <c r="AG109">
        <v>389000</v>
      </c>
      <c r="AH109">
        <v>305704.88</v>
      </c>
      <c r="AI109">
        <v>0.65749999999999997</v>
      </c>
      <c r="AJ109">
        <v>0.48930000000000001</v>
      </c>
      <c r="AK109">
        <v>29</v>
      </c>
      <c r="AL109" t="s">
        <v>106</v>
      </c>
      <c r="AM109">
        <v>1425000</v>
      </c>
      <c r="AN109">
        <v>5.8000000000000003E-2</v>
      </c>
      <c r="AO109">
        <v>750</v>
      </c>
      <c r="AP109">
        <v>727</v>
      </c>
      <c r="AQ109" t="s">
        <v>127</v>
      </c>
      <c r="AR109" t="s">
        <v>153</v>
      </c>
      <c r="AS109">
        <v>1</v>
      </c>
      <c r="AT109">
        <v>2.1899999999999999E-2</v>
      </c>
      <c r="AU109">
        <v>0.63690000000000002</v>
      </c>
      <c r="AV109">
        <v>141022.87</v>
      </c>
      <c r="AW109">
        <v>1967</v>
      </c>
      <c r="AX109" t="b">
        <v>0</v>
      </c>
      <c r="AY109" t="b">
        <v>0</v>
      </c>
      <c r="AZ109" t="s">
        <v>80</v>
      </c>
      <c r="BA109">
        <v>0</v>
      </c>
      <c r="BB109">
        <v>0</v>
      </c>
      <c r="BC109">
        <v>0</v>
      </c>
      <c r="BD109">
        <v>0</v>
      </c>
      <c r="BE109" t="s">
        <v>81</v>
      </c>
      <c r="BF109" t="b">
        <v>1</v>
      </c>
    </row>
    <row r="110" spans="1:58" x14ac:dyDescent="0.3">
      <c r="A110" t="s">
        <v>387</v>
      </c>
      <c r="B110" t="s">
        <v>67</v>
      </c>
      <c r="C110" t="s">
        <v>388</v>
      </c>
      <c r="D110" t="s">
        <v>84</v>
      </c>
      <c r="E110" t="s">
        <v>85</v>
      </c>
      <c r="F110" t="s">
        <v>71</v>
      </c>
      <c r="G110" s="1">
        <v>45186</v>
      </c>
      <c r="H110" s="1">
        <v>45596</v>
      </c>
      <c r="I110" s="1">
        <v>47346</v>
      </c>
      <c r="J110">
        <v>1046700</v>
      </c>
      <c r="K110">
        <v>72</v>
      </c>
      <c r="L110">
        <v>59</v>
      </c>
      <c r="M110">
        <v>13</v>
      </c>
      <c r="N110">
        <v>12.1</v>
      </c>
      <c r="O110">
        <v>20517.66</v>
      </c>
      <c r="P110" t="s">
        <v>72</v>
      </c>
      <c r="Q110">
        <v>849928</v>
      </c>
      <c r="R110">
        <v>20517.66</v>
      </c>
      <c r="S110">
        <v>10670.6</v>
      </c>
      <c r="T110" s="1">
        <v>45585</v>
      </c>
      <c r="U110" t="s">
        <v>140</v>
      </c>
      <c r="V110">
        <v>155</v>
      </c>
      <c r="W110">
        <v>13</v>
      </c>
      <c r="X110">
        <v>7</v>
      </c>
      <c r="Y110">
        <v>2</v>
      </c>
      <c r="Z110">
        <v>2</v>
      </c>
      <c r="AA110">
        <v>2</v>
      </c>
      <c r="AB110" t="s">
        <v>97</v>
      </c>
      <c r="AC110" t="s">
        <v>98</v>
      </c>
      <c r="AD110">
        <v>2023</v>
      </c>
      <c r="AE110" t="s">
        <v>76</v>
      </c>
      <c r="AF110" t="b">
        <v>1</v>
      </c>
      <c r="AG110">
        <v>1623000</v>
      </c>
      <c r="AH110">
        <v>1370878.66</v>
      </c>
      <c r="AI110">
        <v>0.64490000000000003</v>
      </c>
      <c r="AJ110">
        <v>0.62050000000000005</v>
      </c>
      <c r="AK110">
        <v>55</v>
      </c>
      <c r="AL110" t="s">
        <v>120</v>
      </c>
      <c r="AM110">
        <v>2268000</v>
      </c>
      <c r="AN110">
        <v>0.1086</v>
      </c>
      <c r="AO110">
        <v>805</v>
      </c>
      <c r="AP110">
        <v>786</v>
      </c>
      <c r="AQ110" t="s">
        <v>91</v>
      </c>
      <c r="AR110" t="s">
        <v>192</v>
      </c>
      <c r="AS110">
        <v>3</v>
      </c>
      <c r="AT110">
        <v>0.69750000000000001</v>
      </c>
      <c r="AU110">
        <v>0.5373</v>
      </c>
      <c r="AV110">
        <v>862276.58</v>
      </c>
      <c r="AW110">
        <v>323152.59000000003</v>
      </c>
      <c r="AX110" t="b">
        <v>0</v>
      </c>
      <c r="AY110" t="b">
        <v>0</v>
      </c>
      <c r="AZ110" t="s">
        <v>80</v>
      </c>
      <c r="BA110">
        <v>0</v>
      </c>
      <c r="BB110">
        <v>0</v>
      </c>
      <c r="BC110">
        <v>0</v>
      </c>
      <c r="BD110">
        <v>0</v>
      </c>
      <c r="BE110" t="s">
        <v>108</v>
      </c>
      <c r="BF110" t="b">
        <v>1</v>
      </c>
    </row>
    <row r="111" spans="1:58" x14ac:dyDescent="0.3">
      <c r="A111" t="s">
        <v>389</v>
      </c>
      <c r="B111" t="s">
        <v>67</v>
      </c>
      <c r="C111" t="s">
        <v>390</v>
      </c>
      <c r="D111" t="s">
        <v>69</v>
      </c>
      <c r="E111" t="s">
        <v>70</v>
      </c>
      <c r="F111" t="s">
        <v>115</v>
      </c>
      <c r="G111" s="1">
        <v>45501</v>
      </c>
      <c r="H111" s="1">
        <v>45596</v>
      </c>
      <c r="I111" s="1">
        <v>47661</v>
      </c>
      <c r="J111">
        <v>982100</v>
      </c>
      <c r="K111">
        <v>72</v>
      </c>
      <c r="L111">
        <v>69</v>
      </c>
      <c r="M111">
        <v>3</v>
      </c>
      <c r="N111">
        <v>12.22</v>
      </c>
      <c r="O111">
        <v>19312.79</v>
      </c>
      <c r="P111" t="s">
        <v>72</v>
      </c>
      <c r="Q111">
        <v>973254.46</v>
      </c>
      <c r="R111">
        <v>19312.79</v>
      </c>
      <c r="S111">
        <v>19775.32</v>
      </c>
      <c r="T111" s="1">
        <v>45582</v>
      </c>
      <c r="U111" t="s">
        <v>73</v>
      </c>
      <c r="V111">
        <v>0</v>
      </c>
      <c r="W111">
        <v>3</v>
      </c>
      <c r="X111">
        <v>3</v>
      </c>
      <c r="Y111">
        <v>0</v>
      </c>
      <c r="Z111">
        <v>0</v>
      </c>
      <c r="AA111">
        <v>0</v>
      </c>
      <c r="AB111" t="s">
        <v>111</v>
      </c>
      <c r="AC111" t="s">
        <v>251</v>
      </c>
      <c r="AD111">
        <v>2024</v>
      </c>
      <c r="AE111" t="s">
        <v>90</v>
      </c>
      <c r="AF111" t="b">
        <v>1</v>
      </c>
      <c r="AG111">
        <v>1228000</v>
      </c>
      <c r="AH111">
        <v>1241185.25</v>
      </c>
      <c r="AI111">
        <v>0.79969999999999997</v>
      </c>
      <c r="AJ111">
        <v>0.82210000000000005</v>
      </c>
      <c r="AK111">
        <v>40</v>
      </c>
      <c r="AL111" t="s">
        <v>120</v>
      </c>
      <c r="AM111">
        <v>4099000</v>
      </c>
      <c r="AN111">
        <v>5.6500000000000002E-2</v>
      </c>
      <c r="AO111">
        <v>783</v>
      </c>
      <c r="AP111">
        <v>746</v>
      </c>
      <c r="AQ111" t="s">
        <v>145</v>
      </c>
      <c r="AR111" t="s">
        <v>182</v>
      </c>
      <c r="AS111">
        <v>1</v>
      </c>
      <c r="AT111">
        <v>2.23E-2</v>
      </c>
      <c r="AU111">
        <v>0.4385</v>
      </c>
      <c r="AV111">
        <v>1009926.39</v>
      </c>
      <c r="AW111">
        <v>9875.6200000000008</v>
      </c>
      <c r="AX111" t="b">
        <v>0</v>
      </c>
      <c r="AY111" t="b">
        <v>0</v>
      </c>
      <c r="AZ111" t="s">
        <v>80</v>
      </c>
      <c r="BA111">
        <v>0</v>
      </c>
      <c r="BB111">
        <v>0</v>
      </c>
      <c r="BC111">
        <v>0</v>
      </c>
      <c r="BD111">
        <v>47163.35</v>
      </c>
      <c r="BE111" t="s">
        <v>108</v>
      </c>
      <c r="BF111" t="b">
        <v>1</v>
      </c>
    </row>
    <row r="112" spans="1:58" x14ac:dyDescent="0.3">
      <c r="A112" t="s">
        <v>391</v>
      </c>
      <c r="B112" t="s">
        <v>67</v>
      </c>
      <c r="C112" t="s">
        <v>392</v>
      </c>
      <c r="D112" t="s">
        <v>84</v>
      </c>
      <c r="E112" t="s">
        <v>85</v>
      </c>
      <c r="F112" t="s">
        <v>115</v>
      </c>
      <c r="G112" s="1">
        <v>45346</v>
      </c>
      <c r="H112" s="1">
        <v>45596</v>
      </c>
      <c r="I112" s="1">
        <v>47506</v>
      </c>
      <c r="J112">
        <v>1646500</v>
      </c>
      <c r="K112">
        <v>72</v>
      </c>
      <c r="L112">
        <v>64</v>
      </c>
      <c r="M112">
        <v>8</v>
      </c>
      <c r="N112">
        <v>10.210000000000001</v>
      </c>
      <c r="O112">
        <v>30677.439999999999</v>
      </c>
      <c r="P112" t="s">
        <v>72</v>
      </c>
      <c r="Q112">
        <v>1527227.97</v>
      </c>
      <c r="R112">
        <v>30677.439999999999</v>
      </c>
      <c r="S112">
        <v>29954.19</v>
      </c>
      <c r="T112" s="1">
        <v>45586</v>
      </c>
      <c r="U112" t="s">
        <v>73</v>
      </c>
      <c r="V112">
        <v>0</v>
      </c>
      <c r="W112">
        <v>8</v>
      </c>
      <c r="X112">
        <v>8</v>
      </c>
      <c r="Y112">
        <v>0</v>
      </c>
      <c r="Z112">
        <v>0</v>
      </c>
      <c r="AA112">
        <v>0</v>
      </c>
      <c r="AB112" t="s">
        <v>174</v>
      </c>
      <c r="AC112" t="s">
        <v>305</v>
      </c>
      <c r="AD112">
        <v>2024</v>
      </c>
      <c r="AE112" t="s">
        <v>119</v>
      </c>
      <c r="AF112" t="b">
        <v>1</v>
      </c>
      <c r="AG112">
        <v>2671000</v>
      </c>
      <c r="AH112">
        <v>2455142.2799999998</v>
      </c>
      <c r="AI112">
        <v>0.61639999999999995</v>
      </c>
      <c r="AJ112">
        <v>0.63249999999999995</v>
      </c>
      <c r="AK112">
        <v>42</v>
      </c>
      <c r="AL112" t="s">
        <v>132</v>
      </c>
      <c r="AM112">
        <v>1053000</v>
      </c>
      <c r="AN112">
        <v>0.34960000000000002</v>
      </c>
      <c r="AO112">
        <v>808</v>
      </c>
      <c r="AP112">
        <v>814</v>
      </c>
      <c r="AQ112" t="s">
        <v>100</v>
      </c>
      <c r="AR112" t="s">
        <v>101</v>
      </c>
      <c r="AS112">
        <v>1</v>
      </c>
      <c r="AT112">
        <v>1.6199999999999999E-2</v>
      </c>
      <c r="AU112">
        <v>0.40210000000000001</v>
      </c>
      <c r="AV112">
        <v>1566466.03</v>
      </c>
      <c r="AW112">
        <v>10203.99</v>
      </c>
      <c r="AX112" t="b">
        <v>0</v>
      </c>
      <c r="AY112" t="b">
        <v>0</v>
      </c>
      <c r="AZ112" t="s">
        <v>80</v>
      </c>
      <c r="BA112">
        <v>0</v>
      </c>
      <c r="BB112">
        <v>0</v>
      </c>
      <c r="BC112">
        <v>0</v>
      </c>
      <c r="BD112">
        <v>0</v>
      </c>
      <c r="BE112" t="s">
        <v>108</v>
      </c>
      <c r="BF112" t="b">
        <v>1</v>
      </c>
    </row>
    <row r="113" spans="1:58" x14ac:dyDescent="0.3">
      <c r="A113" t="s">
        <v>393</v>
      </c>
      <c r="B113" t="s">
        <v>67</v>
      </c>
      <c r="C113" t="s">
        <v>394</v>
      </c>
      <c r="D113" t="s">
        <v>95</v>
      </c>
      <c r="E113" t="s">
        <v>96</v>
      </c>
      <c r="F113" t="s">
        <v>115</v>
      </c>
      <c r="G113" s="1">
        <v>44719</v>
      </c>
      <c r="H113" s="1">
        <v>45596</v>
      </c>
      <c r="I113" s="1">
        <v>47239</v>
      </c>
      <c r="J113">
        <v>606800</v>
      </c>
      <c r="K113">
        <v>84</v>
      </c>
      <c r="L113">
        <v>56</v>
      </c>
      <c r="M113">
        <v>28</v>
      </c>
      <c r="N113">
        <v>7.86</v>
      </c>
      <c r="O113">
        <v>9415.4500000000007</v>
      </c>
      <c r="P113" t="s">
        <v>72</v>
      </c>
      <c r="Q113">
        <v>420656.93</v>
      </c>
      <c r="R113">
        <v>9415.4500000000007</v>
      </c>
      <c r="S113">
        <v>9444.17</v>
      </c>
      <c r="T113" s="1">
        <v>45561</v>
      </c>
      <c r="U113" t="s">
        <v>73</v>
      </c>
      <c r="V113">
        <v>0</v>
      </c>
      <c r="W113">
        <v>28</v>
      </c>
      <c r="X113">
        <v>28</v>
      </c>
      <c r="Y113">
        <v>0</v>
      </c>
      <c r="Z113">
        <v>0</v>
      </c>
      <c r="AA113">
        <v>0</v>
      </c>
      <c r="AB113" t="s">
        <v>117</v>
      </c>
      <c r="AC113" t="s">
        <v>360</v>
      </c>
      <c r="AD113">
        <v>2022</v>
      </c>
      <c r="AE113" t="s">
        <v>76</v>
      </c>
      <c r="AF113" t="b">
        <v>1</v>
      </c>
      <c r="AG113">
        <v>656000</v>
      </c>
      <c r="AH113">
        <v>463782.7</v>
      </c>
      <c r="AI113">
        <v>0.92500000000000004</v>
      </c>
      <c r="AJ113">
        <v>0.9657</v>
      </c>
      <c r="AK113">
        <v>43</v>
      </c>
      <c r="AL113" t="s">
        <v>120</v>
      </c>
      <c r="AM113">
        <v>4013000</v>
      </c>
      <c r="AN113">
        <v>2.8199999999999999E-2</v>
      </c>
      <c r="AO113">
        <v>790</v>
      </c>
      <c r="AP113">
        <v>785</v>
      </c>
      <c r="AQ113" t="s">
        <v>145</v>
      </c>
      <c r="AR113" t="s">
        <v>157</v>
      </c>
      <c r="AS113">
        <v>1</v>
      </c>
      <c r="AT113">
        <v>1.8200000000000001E-2</v>
      </c>
      <c r="AU113">
        <v>0.61499999999999999</v>
      </c>
      <c r="AV113">
        <v>434608.74</v>
      </c>
      <c r="AW113">
        <v>4864.58</v>
      </c>
      <c r="AX113" t="b">
        <v>0</v>
      </c>
      <c r="AY113" t="b">
        <v>0</v>
      </c>
      <c r="AZ113" t="s">
        <v>80</v>
      </c>
      <c r="BA113">
        <v>0</v>
      </c>
      <c r="BB113">
        <v>0</v>
      </c>
      <c r="BC113">
        <v>0</v>
      </c>
      <c r="BD113">
        <v>0</v>
      </c>
      <c r="BE113" t="s">
        <v>108</v>
      </c>
      <c r="BF113" t="b">
        <v>1</v>
      </c>
    </row>
    <row r="114" spans="1:58" x14ac:dyDescent="0.3">
      <c r="A114" t="s">
        <v>395</v>
      </c>
      <c r="B114" t="s">
        <v>67</v>
      </c>
      <c r="C114" t="s">
        <v>396</v>
      </c>
      <c r="D114" t="s">
        <v>69</v>
      </c>
      <c r="E114" t="s">
        <v>70</v>
      </c>
      <c r="F114" t="s">
        <v>71</v>
      </c>
      <c r="G114" s="1">
        <v>45526</v>
      </c>
      <c r="H114" s="1">
        <v>45596</v>
      </c>
      <c r="I114" s="1">
        <v>48046</v>
      </c>
      <c r="J114">
        <v>1195100</v>
      </c>
      <c r="K114">
        <v>84</v>
      </c>
      <c r="L114">
        <v>82</v>
      </c>
      <c r="M114">
        <v>2</v>
      </c>
      <c r="N114">
        <v>9.2100000000000009</v>
      </c>
      <c r="O114">
        <v>19355.669999999998</v>
      </c>
      <c r="P114" t="s">
        <v>72</v>
      </c>
      <c r="Q114">
        <v>1056959.1000000001</v>
      </c>
      <c r="R114">
        <v>19355.669999999998</v>
      </c>
      <c r="S114">
        <v>19885.21</v>
      </c>
      <c r="T114" s="1">
        <v>45569</v>
      </c>
      <c r="U114" t="s">
        <v>73</v>
      </c>
      <c r="V114">
        <v>0</v>
      </c>
      <c r="W114">
        <v>2</v>
      </c>
      <c r="X114">
        <v>2</v>
      </c>
      <c r="Y114">
        <v>0</v>
      </c>
      <c r="Z114">
        <v>0</v>
      </c>
      <c r="AA114">
        <v>0</v>
      </c>
      <c r="AB114" t="s">
        <v>117</v>
      </c>
      <c r="AC114" t="s">
        <v>377</v>
      </c>
      <c r="AD114">
        <v>2024</v>
      </c>
      <c r="AE114" t="s">
        <v>166</v>
      </c>
      <c r="AF114" t="b">
        <v>1</v>
      </c>
      <c r="AG114">
        <v>1449000</v>
      </c>
      <c r="AH114">
        <v>1509165.12</v>
      </c>
      <c r="AI114">
        <v>0.82479999999999998</v>
      </c>
      <c r="AJ114">
        <v>0.74739999999999995</v>
      </c>
      <c r="AK114">
        <v>46</v>
      </c>
      <c r="AL114" t="s">
        <v>132</v>
      </c>
      <c r="AM114">
        <v>1805000</v>
      </c>
      <c r="AN114">
        <v>0.12870000000000001</v>
      </c>
      <c r="AO114">
        <v>722</v>
      </c>
      <c r="AP114">
        <v>675</v>
      </c>
      <c r="AQ114" t="s">
        <v>78</v>
      </c>
      <c r="AR114" t="s">
        <v>133</v>
      </c>
      <c r="AS114">
        <v>1</v>
      </c>
      <c r="AT114">
        <v>2.5700000000000001E-2</v>
      </c>
      <c r="AU114">
        <v>0.58199999999999996</v>
      </c>
      <c r="AV114">
        <v>1085137.94</v>
      </c>
      <c r="AW114">
        <v>16230.84</v>
      </c>
      <c r="AX114" t="b">
        <v>0</v>
      </c>
      <c r="AY114" t="b">
        <v>0</v>
      </c>
      <c r="AZ114" t="s">
        <v>80</v>
      </c>
      <c r="BA114">
        <v>0</v>
      </c>
      <c r="BB114">
        <v>0</v>
      </c>
      <c r="BC114">
        <v>0</v>
      </c>
      <c r="BD114">
        <v>0</v>
      </c>
      <c r="BE114" t="s">
        <v>108</v>
      </c>
      <c r="BF114" t="b">
        <v>1</v>
      </c>
    </row>
    <row r="115" spans="1:58" x14ac:dyDescent="0.3">
      <c r="A115" t="s">
        <v>397</v>
      </c>
      <c r="B115" t="s">
        <v>67</v>
      </c>
      <c r="C115" t="s">
        <v>398</v>
      </c>
      <c r="D115" t="s">
        <v>84</v>
      </c>
      <c r="E115" t="s">
        <v>85</v>
      </c>
      <c r="F115" t="s">
        <v>115</v>
      </c>
      <c r="G115" s="1">
        <v>44618</v>
      </c>
      <c r="H115" s="1">
        <v>45596</v>
      </c>
      <c r="I115" s="1">
        <v>46778</v>
      </c>
      <c r="J115">
        <v>644000</v>
      </c>
      <c r="K115">
        <v>72</v>
      </c>
      <c r="L115">
        <v>40</v>
      </c>
      <c r="M115">
        <v>32</v>
      </c>
      <c r="N115">
        <v>12.52</v>
      </c>
      <c r="O115">
        <v>12765.15</v>
      </c>
      <c r="P115" t="s">
        <v>72</v>
      </c>
      <c r="Q115">
        <v>324033.23</v>
      </c>
      <c r="R115">
        <v>12765.15</v>
      </c>
      <c r="S115">
        <v>1083.8699999999999</v>
      </c>
      <c r="T115" s="1">
        <v>45577</v>
      </c>
      <c r="U115" t="s">
        <v>131</v>
      </c>
      <c r="V115">
        <v>74</v>
      </c>
      <c r="W115">
        <v>32</v>
      </c>
      <c r="X115">
        <v>30</v>
      </c>
      <c r="Y115">
        <v>3</v>
      </c>
      <c r="Z115">
        <v>2</v>
      </c>
      <c r="AA115">
        <v>0</v>
      </c>
      <c r="AB115" t="s">
        <v>97</v>
      </c>
      <c r="AC115" t="s">
        <v>152</v>
      </c>
      <c r="AD115">
        <v>2022</v>
      </c>
      <c r="AE115" t="s">
        <v>99</v>
      </c>
      <c r="AF115" t="b">
        <v>1</v>
      </c>
      <c r="AG115">
        <v>985000</v>
      </c>
      <c r="AH115">
        <v>619691.98</v>
      </c>
      <c r="AI115">
        <v>0.65380000000000005</v>
      </c>
      <c r="AJ115">
        <v>0.53400000000000003</v>
      </c>
      <c r="AK115">
        <v>27</v>
      </c>
      <c r="AL115" t="s">
        <v>77</v>
      </c>
      <c r="AM115">
        <v>4033000</v>
      </c>
      <c r="AN115">
        <v>3.7999999999999999E-2</v>
      </c>
      <c r="AO115">
        <v>792</v>
      </c>
      <c r="AP115">
        <v>751</v>
      </c>
      <c r="AQ115" t="s">
        <v>78</v>
      </c>
      <c r="AR115" t="s">
        <v>79</v>
      </c>
      <c r="AS115">
        <v>2</v>
      </c>
      <c r="AT115">
        <v>0.1384</v>
      </c>
      <c r="AU115">
        <v>0.52569999999999995</v>
      </c>
      <c r="AV115">
        <v>335388.68</v>
      </c>
      <c r="AW115">
        <v>24401.83</v>
      </c>
      <c r="AX115" t="b">
        <v>0</v>
      </c>
      <c r="AY115" t="b">
        <v>0</v>
      </c>
      <c r="AZ115" t="s">
        <v>80</v>
      </c>
      <c r="BA115">
        <v>0</v>
      </c>
      <c r="BB115">
        <v>0</v>
      </c>
      <c r="BC115">
        <v>0</v>
      </c>
      <c r="BD115">
        <v>0</v>
      </c>
      <c r="BE115" t="s">
        <v>108</v>
      </c>
      <c r="BF115" t="b">
        <v>0</v>
      </c>
    </row>
    <row r="116" spans="1:58" x14ac:dyDescent="0.3">
      <c r="A116" t="s">
        <v>399</v>
      </c>
      <c r="B116" t="s">
        <v>67</v>
      </c>
      <c r="C116" t="s">
        <v>400</v>
      </c>
      <c r="D116" t="s">
        <v>84</v>
      </c>
      <c r="E116" t="s">
        <v>85</v>
      </c>
      <c r="F116" t="s">
        <v>86</v>
      </c>
      <c r="G116" s="1">
        <v>44773</v>
      </c>
      <c r="H116" s="1">
        <v>45596</v>
      </c>
      <c r="I116" s="1">
        <v>46213</v>
      </c>
      <c r="J116">
        <v>592400</v>
      </c>
      <c r="K116">
        <v>48</v>
      </c>
      <c r="L116">
        <v>21</v>
      </c>
      <c r="M116">
        <v>27</v>
      </c>
      <c r="N116">
        <v>12.73</v>
      </c>
      <c r="O116">
        <v>15813.34</v>
      </c>
      <c r="P116" t="s">
        <v>72</v>
      </c>
      <c r="Q116">
        <v>264232.95</v>
      </c>
      <c r="R116">
        <v>15813.34</v>
      </c>
      <c r="S116">
        <v>10560.13</v>
      </c>
      <c r="T116" s="1">
        <v>45584</v>
      </c>
      <c r="U116" t="s">
        <v>143</v>
      </c>
      <c r="V116">
        <v>33</v>
      </c>
      <c r="W116">
        <v>27</v>
      </c>
      <c r="X116">
        <v>21</v>
      </c>
      <c r="Y116">
        <v>0</v>
      </c>
      <c r="Z116">
        <v>1</v>
      </c>
      <c r="AA116">
        <v>0</v>
      </c>
      <c r="AB116" t="s">
        <v>164</v>
      </c>
      <c r="AC116" t="s">
        <v>165</v>
      </c>
      <c r="AD116">
        <v>2022</v>
      </c>
      <c r="AE116" t="s">
        <v>99</v>
      </c>
      <c r="AF116" t="b">
        <v>1</v>
      </c>
      <c r="AG116">
        <v>753000</v>
      </c>
      <c r="AH116">
        <v>469794.42</v>
      </c>
      <c r="AI116">
        <v>0.78669999999999995</v>
      </c>
      <c r="AJ116">
        <v>0.51910000000000001</v>
      </c>
      <c r="AK116">
        <v>58</v>
      </c>
      <c r="AL116" t="s">
        <v>106</v>
      </c>
      <c r="AM116">
        <v>1234000</v>
      </c>
      <c r="AN116">
        <v>0.15379999999999999</v>
      </c>
      <c r="AO116">
        <v>823</v>
      </c>
      <c r="AP116">
        <v>820</v>
      </c>
      <c r="AQ116" t="s">
        <v>145</v>
      </c>
      <c r="AR116" t="s">
        <v>203</v>
      </c>
      <c r="AS116">
        <v>2</v>
      </c>
      <c r="AT116">
        <v>9.9199999999999997E-2</v>
      </c>
      <c r="AU116">
        <v>0.62170000000000003</v>
      </c>
      <c r="AV116">
        <v>275482.12</v>
      </c>
      <c r="AW116">
        <v>16989.71</v>
      </c>
      <c r="AX116" t="b">
        <v>0</v>
      </c>
      <c r="AY116" t="b">
        <v>0</v>
      </c>
      <c r="AZ116" t="s">
        <v>80</v>
      </c>
      <c r="BA116">
        <v>0</v>
      </c>
      <c r="BB116">
        <v>0</v>
      </c>
      <c r="BC116">
        <v>0</v>
      </c>
      <c r="BD116">
        <v>0</v>
      </c>
      <c r="BE116" t="s">
        <v>108</v>
      </c>
      <c r="BF116" t="b">
        <v>1</v>
      </c>
    </row>
    <row r="117" spans="1:58" x14ac:dyDescent="0.3">
      <c r="A117" t="s">
        <v>401</v>
      </c>
      <c r="B117" t="s">
        <v>67</v>
      </c>
      <c r="C117" t="s">
        <v>402</v>
      </c>
      <c r="D117" t="s">
        <v>84</v>
      </c>
      <c r="E117" t="s">
        <v>85</v>
      </c>
      <c r="F117" t="s">
        <v>86</v>
      </c>
      <c r="G117" s="1">
        <v>45358</v>
      </c>
      <c r="H117" s="1">
        <v>45596</v>
      </c>
      <c r="I117" s="1">
        <v>46438</v>
      </c>
      <c r="J117">
        <v>372300</v>
      </c>
      <c r="K117">
        <v>36</v>
      </c>
      <c r="L117">
        <v>29</v>
      </c>
      <c r="M117">
        <v>7</v>
      </c>
      <c r="N117">
        <v>8.8800000000000008</v>
      </c>
      <c r="O117">
        <v>11818.26</v>
      </c>
      <c r="P117" t="s">
        <v>72</v>
      </c>
      <c r="Q117">
        <v>296036.32</v>
      </c>
      <c r="R117">
        <v>11818.26</v>
      </c>
      <c r="S117">
        <v>12069.04</v>
      </c>
      <c r="T117" s="1">
        <v>45569</v>
      </c>
      <c r="U117" t="s">
        <v>73</v>
      </c>
      <c r="V117">
        <v>0</v>
      </c>
      <c r="W117">
        <v>7</v>
      </c>
      <c r="X117">
        <v>7</v>
      </c>
      <c r="Y117">
        <v>0</v>
      </c>
      <c r="Z117">
        <v>0</v>
      </c>
      <c r="AA117">
        <v>0</v>
      </c>
      <c r="AB117" t="s">
        <v>117</v>
      </c>
      <c r="AC117" t="s">
        <v>202</v>
      </c>
      <c r="AD117">
        <v>2024</v>
      </c>
      <c r="AE117" t="s">
        <v>99</v>
      </c>
      <c r="AF117" t="b">
        <v>1</v>
      </c>
      <c r="AG117">
        <v>597000</v>
      </c>
      <c r="AH117">
        <v>522427.38</v>
      </c>
      <c r="AI117">
        <v>0.62360000000000004</v>
      </c>
      <c r="AJ117">
        <v>0.5413</v>
      </c>
      <c r="AK117">
        <v>44</v>
      </c>
      <c r="AL117" t="s">
        <v>77</v>
      </c>
      <c r="AM117">
        <v>3455000</v>
      </c>
      <c r="AN117">
        <v>4.1000000000000002E-2</v>
      </c>
      <c r="AO117">
        <v>710</v>
      </c>
      <c r="AP117">
        <v>672</v>
      </c>
      <c r="AQ117" t="s">
        <v>91</v>
      </c>
      <c r="AR117" t="s">
        <v>252</v>
      </c>
      <c r="AS117">
        <v>1</v>
      </c>
      <c r="AT117">
        <v>2.3699999999999999E-2</v>
      </c>
      <c r="AU117">
        <v>0.63759999999999994</v>
      </c>
      <c r="AV117">
        <v>298532.49</v>
      </c>
      <c r="AW117">
        <v>4511.16</v>
      </c>
      <c r="AX117" t="b">
        <v>0</v>
      </c>
      <c r="AY117" t="b">
        <v>0</v>
      </c>
      <c r="AZ117" t="s">
        <v>80</v>
      </c>
      <c r="BA117">
        <v>0</v>
      </c>
      <c r="BB117">
        <v>0</v>
      </c>
      <c r="BC117">
        <v>0</v>
      </c>
      <c r="BD117">
        <v>0</v>
      </c>
      <c r="BE117" t="s">
        <v>108</v>
      </c>
      <c r="BF117" t="b">
        <v>0</v>
      </c>
    </row>
    <row r="118" spans="1:58" x14ac:dyDescent="0.3">
      <c r="A118" t="s">
        <v>403</v>
      </c>
      <c r="B118" t="s">
        <v>67</v>
      </c>
      <c r="C118" t="s">
        <v>404</v>
      </c>
      <c r="D118" t="s">
        <v>84</v>
      </c>
      <c r="E118" t="s">
        <v>85</v>
      </c>
      <c r="F118" t="s">
        <v>124</v>
      </c>
      <c r="G118" s="1">
        <v>44933</v>
      </c>
      <c r="H118" s="1">
        <v>45596</v>
      </c>
      <c r="I118" s="1">
        <v>46733</v>
      </c>
      <c r="J118">
        <v>1487400</v>
      </c>
      <c r="K118">
        <v>60</v>
      </c>
      <c r="L118">
        <v>39</v>
      </c>
      <c r="M118">
        <v>21</v>
      </c>
      <c r="N118">
        <v>10.91</v>
      </c>
      <c r="O118">
        <v>32272.959999999999</v>
      </c>
      <c r="P118" t="s">
        <v>72</v>
      </c>
      <c r="Q118">
        <v>885912.07</v>
      </c>
      <c r="R118">
        <v>32272.959999999999</v>
      </c>
      <c r="S118">
        <v>32401.01</v>
      </c>
      <c r="T118" s="1">
        <v>45587</v>
      </c>
      <c r="U118" t="s">
        <v>73</v>
      </c>
      <c r="V118">
        <v>0</v>
      </c>
      <c r="W118">
        <v>21</v>
      </c>
      <c r="X118">
        <v>21</v>
      </c>
      <c r="Y118">
        <v>0</v>
      </c>
      <c r="Z118">
        <v>0</v>
      </c>
      <c r="AA118">
        <v>0</v>
      </c>
      <c r="AB118" t="s">
        <v>208</v>
      </c>
      <c r="AC118" t="s">
        <v>405</v>
      </c>
      <c r="AD118">
        <v>2023</v>
      </c>
      <c r="AE118" t="s">
        <v>166</v>
      </c>
      <c r="AF118" t="b">
        <v>1</v>
      </c>
      <c r="AG118">
        <v>2050000</v>
      </c>
      <c r="AH118">
        <v>1492249.26</v>
      </c>
      <c r="AI118">
        <v>0.72560000000000002</v>
      </c>
      <c r="AJ118">
        <v>0.57769999999999999</v>
      </c>
      <c r="AK118">
        <v>61</v>
      </c>
      <c r="AL118" t="s">
        <v>132</v>
      </c>
      <c r="AM118">
        <v>2633000</v>
      </c>
      <c r="AN118">
        <v>0.14710000000000001</v>
      </c>
      <c r="AO118">
        <v>685</v>
      </c>
      <c r="AP118">
        <v>703</v>
      </c>
      <c r="AQ118" t="s">
        <v>100</v>
      </c>
      <c r="AR118" t="s">
        <v>101</v>
      </c>
      <c r="AS118">
        <v>1</v>
      </c>
      <c r="AT118">
        <v>2.3199999999999998E-2</v>
      </c>
      <c r="AU118">
        <v>0.4138</v>
      </c>
      <c r="AV118">
        <v>887535.78</v>
      </c>
      <c r="AW118">
        <v>8520.49</v>
      </c>
      <c r="AX118" t="b">
        <v>0</v>
      </c>
      <c r="AY118" t="b">
        <v>0</v>
      </c>
      <c r="AZ118" t="s">
        <v>80</v>
      </c>
      <c r="BA118">
        <v>0</v>
      </c>
      <c r="BB118">
        <v>0</v>
      </c>
      <c r="BC118">
        <v>0</v>
      </c>
      <c r="BD118">
        <v>0</v>
      </c>
      <c r="BE118" t="s">
        <v>108</v>
      </c>
      <c r="BF118" t="b">
        <v>0</v>
      </c>
    </row>
    <row r="119" spans="1:58" x14ac:dyDescent="0.3">
      <c r="A119" t="s">
        <v>406</v>
      </c>
      <c r="B119" t="s">
        <v>67</v>
      </c>
      <c r="C119" t="s">
        <v>407</v>
      </c>
      <c r="D119" t="s">
        <v>69</v>
      </c>
      <c r="E119" t="s">
        <v>70</v>
      </c>
      <c r="F119" t="s">
        <v>86</v>
      </c>
      <c r="G119" s="1">
        <v>44654</v>
      </c>
      <c r="H119" s="1">
        <v>45596</v>
      </c>
      <c r="I119" s="1">
        <v>47174</v>
      </c>
      <c r="J119">
        <v>294000</v>
      </c>
      <c r="K119">
        <v>84</v>
      </c>
      <c r="L119">
        <v>54</v>
      </c>
      <c r="M119">
        <v>30</v>
      </c>
      <c r="N119">
        <v>12.29</v>
      </c>
      <c r="O119">
        <v>5235.6099999999997</v>
      </c>
      <c r="P119" t="s">
        <v>116</v>
      </c>
      <c r="Q119">
        <v>191566.79</v>
      </c>
      <c r="R119">
        <v>5235.6099999999997</v>
      </c>
      <c r="S119">
        <v>5305.54</v>
      </c>
      <c r="T119" s="1">
        <v>45579</v>
      </c>
      <c r="U119" t="s">
        <v>73</v>
      </c>
      <c r="V119">
        <v>0</v>
      </c>
      <c r="W119">
        <v>30</v>
      </c>
      <c r="X119">
        <v>30</v>
      </c>
      <c r="Y119">
        <v>0</v>
      </c>
      <c r="Z119">
        <v>0</v>
      </c>
      <c r="AA119">
        <v>0</v>
      </c>
      <c r="AB119" t="s">
        <v>104</v>
      </c>
      <c r="AC119" t="s">
        <v>156</v>
      </c>
      <c r="AD119">
        <v>2017</v>
      </c>
      <c r="AE119" t="s">
        <v>90</v>
      </c>
      <c r="AF119" t="b">
        <v>0</v>
      </c>
      <c r="AG119">
        <v>487000</v>
      </c>
      <c r="AH119">
        <v>332554.59999999998</v>
      </c>
      <c r="AI119">
        <v>0.60370000000000001</v>
      </c>
      <c r="AJ119">
        <v>0.61460000000000004</v>
      </c>
      <c r="AK119">
        <v>52</v>
      </c>
      <c r="AL119" t="s">
        <v>77</v>
      </c>
      <c r="AM119">
        <v>1142000</v>
      </c>
      <c r="AN119">
        <v>5.5E-2</v>
      </c>
      <c r="AO119">
        <v>794</v>
      </c>
      <c r="AP119">
        <v>762</v>
      </c>
      <c r="AQ119" t="s">
        <v>127</v>
      </c>
      <c r="AR119" t="s">
        <v>185</v>
      </c>
      <c r="AS119">
        <v>1</v>
      </c>
      <c r="AT119">
        <v>1.8700000000000001E-2</v>
      </c>
      <c r="AU119">
        <v>0.62539999999999996</v>
      </c>
      <c r="AV119">
        <v>200010.59</v>
      </c>
      <c r="AW119">
        <v>2339.12</v>
      </c>
      <c r="AX119" t="b">
        <v>0</v>
      </c>
      <c r="AY119" t="b">
        <v>0</v>
      </c>
      <c r="AZ119" t="s">
        <v>80</v>
      </c>
      <c r="BA119">
        <v>0</v>
      </c>
      <c r="BB119">
        <v>0</v>
      </c>
      <c r="BC119">
        <v>0</v>
      </c>
      <c r="BD119">
        <v>10186.27</v>
      </c>
      <c r="BE119" t="s">
        <v>108</v>
      </c>
      <c r="BF119" t="b">
        <v>1</v>
      </c>
    </row>
    <row r="120" spans="1:58" x14ac:dyDescent="0.3">
      <c r="A120" t="s">
        <v>408</v>
      </c>
      <c r="B120" t="s">
        <v>67</v>
      </c>
      <c r="C120" t="s">
        <v>409</v>
      </c>
      <c r="D120" t="s">
        <v>69</v>
      </c>
      <c r="E120" t="s">
        <v>70</v>
      </c>
      <c r="F120" t="s">
        <v>71</v>
      </c>
      <c r="G120" s="1">
        <v>44736</v>
      </c>
      <c r="H120" s="1">
        <v>45596</v>
      </c>
      <c r="I120" s="1">
        <v>45816</v>
      </c>
      <c r="J120">
        <v>1480000</v>
      </c>
      <c r="K120">
        <v>36</v>
      </c>
      <c r="L120">
        <v>8</v>
      </c>
      <c r="M120">
        <v>28</v>
      </c>
      <c r="N120">
        <v>11.12</v>
      </c>
      <c r="O120">
        <v>48537.45</v>
      </c>
      <c r="P120" t="s">
        <v>72</v>
      </c>
      <c r="Q120">
        <v>314565.55</v>
      </c>
      <c r="R120">
        <v>48537.45</v>
      </c>
      <c r="S120">
        <v>49606.51</v>
      </c>
      <c r="T120" s="1">
        <v>45566</v>
      </c>
      <c r="U120" t="s">
        <v>73</v>
      </c>
      <c r="V120">
        <v>0</v>
      </c>
      <c r="W120">
        <v>28</v>
      </c>
      <c r="X120">
        <v>28</v>
      </c>
      <c r="Y120">
        <v>0</v>
      </c>
      <c r="Z120">
        <v>0</v>
      </c>
      <c r="AA120">
        <v>0</v>
      </c>
      <c r="AB120" t="s">
        <v>104</v>
      </c>
      <c r="AC120" t="s">
        <v>105</v>
      </c>
      <c r="AD120">
        <v>2022</v>
      </c>
      <c r="AE120" t="s">
        <v>166</v>
      </c>
      <c r="AF120" t="b">
        <v>1</v>
      </c>
      <c r="AG120">
        <v>1786000</v>
      </c>
      <c r="AH120">
        <v>1227465.06</v>
      </c>
      <c r="AI120">
        <v>0.82869999999999999</v>
      </c>
      <c r="AJ120">
        <v>0.26529999999999998</v>
      </c>
      <c r="AK120">
        <v>57</v>
      </c>
      <c r="AL120" t="s">
        <v>120</v>
      </c>
      <c r="AM120">
        <v>1959000</v>
      </c>
      <c r="AN120">
        <v>0.29730000000000001</v>
      </c>
      <c r="AO120">
        <v>738</v>
      </c>
      <c r="AP120">
        <v>750</v>
      </c>
      <c r="AQ120" t="s">
        <v>127</v>
      </c>
      <c r="AR120" t="s">
        <v>128</v>
      </c>
      <c r="AS120">
        <v>1</v>
      </c>
      <c r="AT120">
        <v>1.5900000000000001E-2</v>
      </c>
      <c r="AU120">
        <v>0.53059999999999996</v>
      </c>
      <c r="AV120">
        <v>327414.84999999998</v>
      </c>
      <c r="AW120">
        <v>2762.25</v>
      </c>
      <c r="AX120" t="b">
        <v>0</v>
      </c>
      <c r="AY120" t="b">
        <v>0</v>
      </c>
      <c r="AZ120" t="s">
        <v>80</v>
      </c>
      <c r="BA120">
        <v>0</v>
      </c>
      <c r="BB120">
        <v>0</v>
      </c>
      <c r="BC120">
        <v>0</v>
      </c>
      <c r="BD120">
        <v>0</v>
      </c>
      <c r="BE120" t="s">
        <v>134</v>
      </c>
      <c r="BF120" t="b">
        <v>1</v>
      </c>
    </row>
    <row r="121" spans="1:58" x14ac:dyDescent="0.3">
      <c r="A121" t="s">
        <v>410</v>
      </c>
      <c r="B121" t="s">
        <v>67</v>
      </c>
      <c r="C121" t="s">
        <v>411</v>
      </c>
      <c r="D121" t="s">
        <v>84</v>
      </c>
      <c r="E121" t="s">
        <v>85</v>
      </c>
      <c r="F121" t="s">
        <v>124</v>
      </c>
      <c r="G121" s="1">
        <v>45178</v>
      </c>
      <c r="H121" s="1">
        <v>45596</v>
      </c>
      <c r="I121" s="1">
        <v>47698</v>
      </c>
      <c r="J121">
        <v>529600</v>
      </c>
      <c r="K121">
        <v>84</v>
      </c>
      <c r="L121">
        <v>71</v>
      </c>
      <c r="M121">
        <v>13</v>
      </c>
      <c r="N121">
        <v>11.65</v>
      </c>
      <c r="O121">
        <v>9250.0499999999993</v>
      </c>
      <c r="P121" t="s">
        <v>72</v>
      </c>
      <c r="Q121">
        <v>411920.43</v>
      </c>
      <c r="R121">
        <v>9250.0499999999993</v>
      </c>
      <c r="S121">
        <v>9546.4699999999993</v>
      </c>
      <c r="T121" s="1">
        <v>45585</v>
      </c>
      <c r="U121" t="s">
        <v>73</v>
      </c>
      <c r="V121">
        <v>0</v>
      </c>
      <c r="W121">
        <v>13</v>
      </c>
      <c r="X121">
        <v>13</v>
      </c>
      <c r="Y121">
        <v>0</v>
      </c>
      <c r="Z121">
        <v>0</v>
      </c>
      <c r="AA121">
        <v>0</v>
      </c>
      <c r="AB121" t="s">
        <v>125</v>
      </c>
      <c r="AC121" t="s">
        <v>353</v>
      </c>
      <c r="AD121">
        <v>2023</v>
      </c>
      <c r="AE121" t="s">
        <v>166</v>
      </c>
      <c r="AF121" t="b">
        <v>1</v>
      </c>
      <c r="AG121">
        <v>861000</v>
      </c>
      <c r="AH121">
        <v>744591.2</v>
      </c>
      <c r="AI121">
        <v>0.61509999999999998</v>
      </c>
      <c r="AJ121">
        <v>0.56679999999999997</v>
      </c>
      <c r="AK121">
        <v>25</v>
      </c>
      <c r="AL121" t="s">
        <v>77</v>
      </c>
      <c r="AM121">
        <v>563000</v>
      </c>
      <c r="AN121">
        <v>0.19719999999999999</v>
      </c>
      <c r="AO121">
        <v>716</v>
      </c>
      <c r="AP121">
        <v>689</v>
      </c>
      <c r="AQ121" t="s">
        <v>78</v>
      </c>
      <c r="AR121" t="s">
        <v>133</v>
      </c>
      <c r="AS121">
        <v>1</v>
      </c>
      <c r="AT121">
        <v>2.4400000000000002E-2</v>
      </c>
      <c r="AU121">
        <v>0.4012</v>
      </c>
      <c r="AV121">
        <v>429022.62</v>
      </c>
      <c r="AW121">
        <v>4199.82</v>
      </c>
      <c r="AX121" t="b">
        <v>0</v>
      </c>
      <c r="AY121" t="b">
        <v>0</v>
      </c>
      <c r="AZ121" t="s">
        <v>80</v>
      </c>
      <c r="BA121">
        <v>0</v>
      </c>
      <c r="BB121">
        <v>0</v>
      </c>
      <c r="BC121">
        <v>0</v>
      </c>
      <c r="BD121">
        <v>0</v>
      </c>
      <c r="BE121" t="s">
        <v>108</v>
      </c>
      <c r="BF121" t="b">
        <v>0</v>
      </c>
    </row>
    <row r="122" spans="1:58" x14ac:dyDescent="0.3">
      <c r="A122" t="s">
        <v>412</v>
      </c>
      <c r="B122" t="s">
        <v>67</v>
      </c>
      <c r="C122" t="s">
        <v>413</v>
      </c>
      <c r="D122" t="s">
        <v>69</v>
      </c>
      <c r="E122" t="s">
        <v>70</v>
      </c>
      <c r="F122" t="s">
        <v>124</v>
      </c>
      <c r="G122" s="1">
        <v>45243</v>
      </c>
      <c r="H122" s="1">
        <v>45596</v>
      </c>
      <c r="I122" s="1">
        <v>46323</v>
      </c>
      <c r="J122">
        <v>2660900</v>
      </c>
      <c r="K122">
        <v>36</v>
      </c>
      <c r="L122">
        <v>25</v>
      </c>
      <c r="M122">
        <v>11</v>
      </c>
      <c r="N122">
        <v>9.11</v>
      </c>
      <c r="O122">
        <v>84752.2</v>
      </c>
      <c r="P122" t="s">
        <v>72</v>
      </c>
      <c r="Q122">
        <v>1769903.7</v>
      </c>
      <c r="R122">
        <v>84752.2</v>
      </c>
      <c r="S122">
        <v>84939.03</v>
      </c>
      <c r="T122" s="1">
        <v>45573</v>
      </c>
      <c r="U122" t="s">
        <v>73</v>
      </c>
      <c r="V122">
        <v>0</v>
      </c>
      <c r="W122">
        <v>11</v>
      </c>
      <c r="X122">
        <v>11</v>
      </c>
      <c r="Y122">
        <v>0</v>
      </c>
      <c r="Z122">
        <v>0</v>
      </c>
      <c r="AA122">
        <v>0</v>
      </c>
      <c r="AB122" t="s">
        <v>88</v>
      </c>
      <c r="AC122" t="s">
        <v>89</v>
      </c>
      <c r="AD122">
        <v>2023</v>
      </c>
      <c r="AE122" t="s">
        <v>119</v>
      </c>
      <c r="AF122" t="b">
        <v>1</v>
      </c>
      <c r="AG122">
        <v>3290000</v>
      </c>
      <c r="AH122">
        <v>3069798.65</v>
      </c>
      <c r="AI122">
        <v>0.80879999999999996</v>
      </c>
      <c r="AJ122">
        <v>0.61980000000000002</v>
      </c>
      <c r="AK122">
        <v>23</v>
      </c>
      <c r="AL122" t="s">
        <v>77</v>
      </c>
      <c r="AM122">
        <v>2757000</v>
      </c>
      <c r="AN122">
        <v>0.36890000000000001</v>
      </c>
      <c r="AO122">
        <v>779</v>
      </c>
      <c r="AP122">
        <v>782</v>
      </c>
      <c r="AQ122" t="s">
        <v>100</v>
      </c>
      <c r="AR122" t="s">
        <v>149</v>
      </c>
      <c r="AS122">
        <v>1</v>
      </c>
      <c r="AT122">
        <v>2.1899999999999999E-2</v>
      </c>
      <c r="AU122">
        <v>0.62060000000000004</v>
      </c>
      <c r="AV122">
        <v>1817627.91</v>
      </c>
      <c r="AW122">
        <v>24703.64</v>
      </c>
      <c r="AX122" t="b">
        <v>0</v>
      </c>
      <c r="AY122" t="b">
        <v>0</v>
      </c>
      <c r="AZ122" t="s">
        <v>80</v>
      </c>
      <c r="BA122">
        <v>0</v>
      </c>
      <c r="BB122">
        <v>0</v>
      </c>
      <c r="BC122">
        <v>0</v>
      </c>
      <c r="BD122">
        <v>238425.27</v>
      </c>
      <c r="BE122" t="s">
        <v>134</v>
      </c>
      <c r="BF122" t="b">
        <v>1</v>
      </c>
    </row>
    <row r="123" spans="1:58" x14ac:dyDescent="0.3">
      <c r="A123" t="s">
        <v>414</v>
      </c>
      <c r="B123" t="s">
        <v>67</v>
      </c>
      <c r="C123" t="s">
        <v>415</v>
      </c>
      <c r="D123" t="s">
        <v>84</v>
      </c>
      <c r="E123" t="s">
        <v>85</v>
      </c>
      <c r="F123" t="s">
        <v>115</v>
      </c>
      <c r="G123" s="1">
        <v>45282</v>
      </c>
      <c r="H123" s="1">
        <v>45596</v>
      </c>
      <c r="I123" s="1">
        <v>47802</v>
      </c>
      <c r="J123">
        <v>2150400</v>
      </c>
      <c r="K123">
        <v>84</v>
      </c>
      <c r="L123">
        <v>74</v>
      </c>
      <c r="M123">
        <v>10</v>
      </c>
      <c r="N123">
        <v>13.13</v>
      </c>
      <c r="O123">
        <v>39272.14</v>
      </c>
      <c r="P123" t="s">
        <v>72</v>
      </c>
      <c r="Q123">
        <v>1962937.18</v>
      </c>
      <c r="R123">
        <v>39272.14</v>
      </c>
      <c r="S123">
        <v>39867.410000000003</v>
      </c>
      <c r="T123" s="1">
        <v>45580</v>
      </c>
      <c r="U123" t="s">
        <v>73</v>
      </c>
      <c r="V123">
        <v>0</v>
      </c>
      <c r="W123">
        <v>10</v>
      </c>
      <c r="X123">
        <v>10</v>
      </c>
      <c r="Y123">
        <v>0</v>
      </c>
      <c r="Z123">
        <v>0</v>
      </c>
      <c r="AA123">
        <v>0</v>
      </c>
      <c r="AB123" t="s">
        <v>174</v>
      </c>
      <c r="AC123" t="s">
        <v>305</v>
      </c>
      <c r="AD123">
        <v>2023</v>
      </c>
      <c r="AE123" t="s">
        <v>166</v>
      </c>
      <c r="AF123" t="b">
        <v>1</v>
      </c>
      <c r="AG123">
        <v>2932000</v>
      </c>
      <c r="AH123">
        <v>2456984.66</v>
      </c>
      <c r="AI123">
        <v>0.73340000000000005</v>
      </c>
      <c r="AJ123">
        <v>0.76080000000000003</v>
      </c>
      <c r="AK123">
        <v>58</v>
      </c>
      <c r="AL123" t="s">
        <v>132</v>
      </c>
      <c r="AM123">
        <v>1062000</v>
      </c>
      <c r="AN123">
        <v>0.44379999999999997</v>
      </c>
      <c r="AO123">
        <v>846</v>
      </c>
      <c r="AP123">
        <v>825</v>
      </c>
      <c r="AQ123" t="s">
        <v>145</v>
      </c>
      <c r="AR123" t="s">
        <v>157</v>
      </c>
      <c r="AS123">
        <v>1</v>
      </c>
      <c r="AT123">
        <v>1.8499999999999999E-2</v>
      </c>
      <c r="AU123">
        <v>0.41160000000000002</v>
      </c>
      <c r="AV123">
        <v>2041875.44</v>
      </c>
      <c r="AW123">
        <v>15548.06</v>
      </c>
      <c r="AX123" t="b">
        <v>0</v>
      </c>
      <c r="AY123" t="b">
        <v>0</v>
      </c>
      <c r="AZ123" t="s">
        <v>80</v>
      </c>
      <c r="BA123">
        <v>0</v>
      </c>
      <c r="BB123">
        <v>0</v>
      </c>
      <c r="BC123">
        <v>0</v>
      </c>
      <c r="BD123">
        <v>0</v>
      </c>
      <c r="BE123" t="s">
        <v>134</v>
      </c>
      <c r="BF123" t="b">
        <v>1</v>
      </c>
    </row>
    <row r="124" spans="1:58" x14ac:dyDescent="0.3">
      <c r="A124" t="s">
        <v>416</v>
      </c>
      <c r="B124" t="s">
        <v>67</v>
      </c>
      <c r="C124" t="s">
        <v>417</v>
      </c>
      <c r="D124" t="s">
        <v>69</v>
      </c>
      <c r="E124" t="s">
        <v>70</v>
      </c>
      <c r="F124" t="s">
        <v>115</v>
      </c>
      <c r="G124" s="1">
        <v>45294</v>
      </c>
      <c r="H124" s="1">
        <v>45596</v>
      </c>
      <c r="I124" s="1">
        <v>46734</v>
      </c>
      <c r="J124">
        <v>2570600</v>
      </c>
      <c r="K124">
        <v>48</v>
      </c>
      <c r="L124">
        <v>39</v>
      </c>
      <c r="M124">
        <v>9</v>
      </c>
      <c r="N124">
        <v>10.39</v>
      </c>
      <c r="O124">
        <v>65679.570000000007</v>
      </c>
      <c r="P124" t="s">
        <v>72</v>
      </c>
      <c r="Q124">
        <v>2125305.79</v>
      </c>
      <c r="R124">
        <v>65679.570000000007</v>
      </c>
      <c r="S124">
        <v>62737.47</v>
      </c>
      <c r="T124" s="1">
        <v>45572</v>
      </c>
      <c r="U124" t="s">
        <v>73</v>
      </c>
      <c r="V124">
        <v>0</v>
      </c>
      <c r="W124">
        <v>9</v>
      </c>
      <c r="X124">
        <v>9</v>
      </c>
      <c r="Y124">
        <v>0</v>
      </c>
      <c r="Z124">
        <v>0</v>
      </c>
      <c r="AA124">
        <v>0</v>
      </c>
      <c r="AB124" t="s">
        <v>174</v>
      </c>
      <c r="AC124" t="s">
        <v>175</v>
      </c>
      <c r="AD124">
        <v>2024</v>
      </c>
      <c r="AE124" t="s">
        <v>119</v>
      </c>
      <c r="AF124" t="b">
        <v>1</v>
      </c>
      <c r="AG124">
        <v>3478000</v>
      </c>
      <c r="AH124">
        <v>3390630.32</v>
      </c>
      <c r="AI124">
        <v>0.73909999999999998</v>
      </c>
      <c r="AJ124">
        <v>0.68510000000000004</v>
      </c>
      <c r="AK124">
        <v>33</v>
      </c>
      <c r="AL124" t="s">
        <v>106</v>
      </c>
      <c r="AM124">
        <v>2729000</v>
      </c>
      <c r="AN124">
        <v>0.2888</v>
      </c>
      <c r="AO124">
        <v>728</v>
      </c>
      <c r="AP124">
        <v>751</v>
      </c>
      <c r="AQ124" t="s">
        <v>91</v>
      </c>
      <c r="AR124" t="s">
        <v>252</v>
      </c>
      <c r="AS124">
        <v>1</v>
      </c>
      <c r="AT124">
        <v>1.66E-2</v>
      </c>
      <c r="AU124">
        <v>0.47020000000000001</v>
      </c>
      <c r="AV124">
        <v>2161269.9900000002</v>
      </c>
      <c r="AW124">
        <v>16869.400000000001</v>
      </c>
      <c r="AX124" t="b">
        <v>0</v>
      </c>
      <c r="AY124" t="b">
        <v>0</v>
      </c>
      <c r="AZ124" t="s">
        <v>80</v>
      </c>
      <c r="BA124">
        <v>0</v>
      </c>
      <c r="BB124">
        <v>0</v>
      </c>
      <c r="BC124">
        <v>0</v>
      </c>
      <c r="BD124">
        <v>0</v>
      </c>
      <c r="BE124" t="s">
        <v>108</v>
      </c>
      <c r="BF124" t="b">
        <v>1</v>
      </c>
    </row>
    <row r="125" spans="1:58" x14ac:dyDescent="0.3">
      <c r="A125" t="s">
        <v>418</v>
      </c>
      <c r="B125" t="s">
        <v>67</v>
      </c>
      <c r="C125" t="s">
        <v>419</v>
      </c>
      <c r="D125" t="s">
        <v>84</v>
      </c>
      <c r="E125" t="s">
        <v>85</v>
      </c>
      <c r="F125" t="s">
        <v>71</v>
      </c>
      <c r="G125" s="1">
        <v>44207</v>
      </c>
      <c r="H125" s="1">
        <v>45596</v>
      </c>
      <c r="I125" s="1">
        <v>45647</v>
      </c>
      <c r="J125">
        <v>733800</v>
      </c>
      <c r="K125">
        <v>48</v>
      </c>
      <c r="L125">
        <v>3</v>
      </c>
      <c r="M125">
        <v>45</v>
      </c>
      <c r="N125">
        <v>10.1</v>
      </c>
      <c r="O125">
        <v>18646.32</v>
      </c>
      <c r="P125" t="s">
        <v>72</v>
      </c>
      <c r="Q125">
        <v>45465.99</v>
      </c>
      <c r="R125">
        <v>18646.32</v>
      </c>
      <c r="S125">
        <v>1295.44</v>
      </c>
      <c r="T125" s="1">
        <v>45579</v>
      </c>
      <c r="U125" t="s">
        <v>163</v>
      </c>
      <c r="V125">
        <v>105</v>
      </c>
      <c r="W125">
        <v>45</v>
      </c>
      <c r="X125">
        <v>39</v>
      </c>
      <c r="Y125">
        <v>2</v>
      </c>
      <c r="Z125">
        <v>0</v>
      </c>
      <c r="AA125">
        <v>0</v>
      </c>
      <c r="AB125" t="s">
        <v>74</v>
      </c>
      <c r="AC125" t="s">
        <v>420</v>
      </c>
      <c r="AD125">
        <v>2021</v>
      </c>
      <c r="AE125" t="s">
        <v>90</v>
      </c>
      <c r="AF125" t="b">
        <v>1</v>
      </c>
      <c r="AG125">
        <v>1179000</v>
      </c>
      <c r="AH125">
        <v>572675.56000000006</v>
      </c>
      <c r="AI125">
        <v>0.62239999999999995</v>
      </c>
      <c r="AJ125">
        <v>8.3799999999999999E-2</v>
      </c>
      <c r="AK125">
        <v>49</v>
      </c>
      <c r="AL125" t="s">
        <v>120</v>
      </c>
      <c r="AM125">
        <v>3186000</v>
      </c>
      <c r="AN125">
        <v>7.0199999999999999E-2</v>
      </c>
      <c r="AO125">
        <v>783</v>
      </c>
      <c r="AP125">
        <v>769</v>
      </c>
      <c r="AQ125" t="s">
        <v>78</v>
      </c>
      <c r="AR125" t="s">
        <v>79</v>
      </c>
      <c r="AS125">
        <v>3</v>
      </c>
      <c r="AT125">
        <v>0.90869999999999995</v>
      </c>
      <c r="AU125">
        <v>0.55220000000000002</v>
      </c>
      <c r="AV125">
        <v>46283.79</v>
      </c>
      <c r="AW125">
        <v>23224.47</v>
      </c>
      <c r="AX125" t="b">
        <v>0</v>
      </c>
      <c r="AY125" t="b">
        <v>0</v>
      </c>
      <c r="AZ125" t="s">
        <v>80</v>
      </c>
      <c r="BA125">
        <v>0</v>
      </c>
      <c r="BB125">
        <v>0</v>
      </c>
      <c r="BC125">
        <v>0</v>
      </c>
      <c r="BD125">
        <v>0</v>
      </c>
      <c r="BE125" t="s">
        <v>108</v>
      </c>
      <c r="BF125" t="b">
        <v>0</v>
      </c>
    </row>
    <row r="126" spans="1:58" x14ac:dyDescent="0.3">
      <c r="A126" t="s">
        <v>421</v>
      </c>
      <c r="B126" t="s">
        <v>67</v>
      </c>
      <c r="C126" t="s">
        <v>422</v>
      </c>
      <c r="D126" t="s">
        <v>69</v>
      </c>
      <c r="E126" t="s">
        <v>70</v>
      </c>
      <c r="F126" t="s">
        <v>86</v>
      </c>
      <c r="G126" s="1">
        <v>44920</v>
      </c>
      <c r="H126" s="1">
        <v>45596</v>
      </c>
      <c r="I126" s="1">
        <v>46000</v>
      </c>
      <c r="J126">
        <v>606800</v>
      </c>
      <c r="K126">
        <v>36</v>
      </c>
      <c r="L126">
        <v>14</v>
      </c>
      <c r="M126">
        <v>22</v>
      </c>
      <c r="N126">
        <v>11.35</v>
      </c>
      <c r="O126">
        <v>19966.580000000002</v>
      </c>
      <c r="P126" t="s">
        <v>72</v>
      </c>
      <c r="Q126">
        <v>238082.89</v>
      </c>
      <c r="R126">
        <v>19966.580000000002</v>
      </c>
      <c r="S126">
        <v>8995.64</v>
      </c>
      <c r="T126" s="1">
        <v>45581</v>
      </c>
      <c r="U126" t="s">
        <v>131</v>
      </c>
      <c r="V126">
        <v>68</v>
      </c>
      <c r="W126">
        <v>22</v>
      </c>
      <c r="X126">
        <v>16</v>
      </c>
      <c r="Y126">
        <v>0</v>
      </c>
      <c r="Z126">
        <v>2</v>
      </c>
      <c r="AA126">
        <v>1</v>
      </c>
      <c r="AB126" t="s">
        <v>174</v>
      </c>
      <c r="AC126" t="s">
        <v>423</v>
      </c>
      <c r="AD126">
        <v>2022</v>
      </c>
      <c r="AE126" t="s">
        <v>90</v>
      </c>
      <c r="AF126" t="b">
        <v>1</v>
      </c>
      <c r="AG126">
        <v>717000</v>
      </c>
      <c r="AH126">
        <v>554886.35</v>
      </c>
      <c r="AI126">
        <v>0.84630000000000005</v>
      </c>
      <c r="AJ126">
        <v>0.45119999999999999</v>
      </c>
      <c r="AK126">
        <v>60</v>
      </c>
      <c r="AL126" t="s">
        <v>106</v>
      </c>
      <c r="AM126">
        <v>4188000</v>
      </c>
      <c r="AN126">
        <v>5.7200000000000001E-2</v>
      </c>
      <c r="AO126">
        <v>707</v>
      </c>
      <c r="AP126">
        <v>734</v>
      </c>
      <c r="AQ126" t="s">
        <v>100</v>
      </c>
      <c r="AR126" t="s">
        <v>107</v>
      </c>
      <c r="AS126">
        <v>2</v>
      </c>
      <c r="AT126">
        <v>0.14710000000000001</v>
      </c>
      <c r="AU126">
        <v>0.59389999999999998</v>
      </c>
      <c r="AV126">
        <v>244926.51</v>
      </c>
      <c r="AW126">
        <v>21397.439999999999</v>
      </c>
      <c r="AX126" t="b">
        <v>0</v>
      </c>
      <c r="AY126" t="b">
        <v>0</v>
      </c>
      <c r="AZ126" t="s">
        <v>80</v>
      </c>
      <c r="BA126">
        <v>0</v>
      </c>
      <c r="BB126">
        <v>0</v>
      </c>
      <c r="BC126">
        <v>0</v>
      </c>
      <c r="BD126">
        <v>0</v>
      </c>
      <c r="BE126" t="s">
        <v>108</v>
      </c>
      <c r="BF126" t="b">
        <v>0</v>
      </c>
    </row>
    <row r="127" spans="1:58" x14ac:dyDescent="0.3">
      <c r="A127" t="s">
        <v>424</v>
      </c>
      <c r="B127" t="s">
        <v>67</v>
      </c>
      <c r="C127" t="s">
        <v>425</v>
      </c>
      <c r="D127" t="s">
        <v>69</v>
      </c>
      <c r="E127" t="s">
        <v>70</v>
      </c>
      <c r="F127" t="s">
        <v>86</v>
      </c>
      <c r="G127" s="1">
        <v>45136</v>
      </c>
      <c r="H127" s="1">
        <v>45596</v>
      </c>
      <c r="I127" s="1">
        <v>46576</v>
      </c>
      <c r="J127">
        <v>694700</v>
      </c>
      <c r="K127">
        <v>48</v>
      </c>
      <c r="L127">
        <v>33</v>
      </c>
      <c r="M127">
        <v>15</v>
      </c>
      <c r="N127">
        <v>12.24</v>
      </c>
      <c r="O127">
        <v>18376.080000000002</v>
      </c>
      <c r="P127" t="s">
        <v>72</v>
      </c>
      <c r="Q127">
        <v>446318.04</v>
      </c>
      <c r="R127">
        <v>18376.080000000002</v>
      </c>
      <c r="S127">
        <v>17888.86</v>
      </c>
      <c r="T127" s="1">
        <v>45581</v>
      </c>
      <c r="U127" t="s">
        <v>73</v>
      </c>
      <c r="V127">
        <v>0</v>
      </c>
      <c r="W127">
        <v>15</v>
      </c>
      <c r="X127">
        <v>15</v>
      </c>
      <c r="Y127">
        <v>0</v>
      </c>
      <c r="Z127">
        <v>0</v>
      </c>
      <c r="AA127">
        <v>0</v>
      </c>
      <c r="AB127" t="s">
        <v>164</v>
      </c>
      <c r="AC127" t="s">
        <v>426</v>
      </c>
      <c r="AD127">
        <v>2023</v>
      </c>
      <c r="AE127" t="s">
        <v>166</v>
      </c>
      <c r="AF127" t="b">
        <v>1</v>
      </c>
      <c r="AG127">
        <v>1114000</v>
      </c>
      <c r="AH127">
        <v>981578.56</v>
      </c>
      <c r="AI127">
        <v>0.62360000000000004</v>
      </c>
      <c r="AJ127">
        <v>0.48859999999999998</v>
      </c>
      <c r="AK127">
        <v>49</v>
      </c>
      <c r="AL127" t="s">
        <v>106</v>
      </c>
      <c r="AM127">
        <v>643000</v>
      </c>
      <c r="AN127">
        <v>0.34289999999999998</v>
      </c>
      <c r="AO127">
        <v>717</v>
      </c>
      <c r="AP127">
        <v>698</v>
      </c>
      <c r="AQ127" t="s">
        <v>91</v>
      </c>
      <c r="AR127" t="s">
        <v>92</v>
      </c>
      <c r="AS127">
        <v>1</v>
      </c>
      <c r="AT127">
        <v>1.6199999999999999E-2</v>
      </c>
      <c r="AU127">
        <v>0.57379999999999998</v>
      </c>
      <c r="AV127">
        <v>467077.53</v>
      </c>
      <c r="AW127">
        <v>4341.75</v>
      </c>
      <c r="AX127" t="b">
        <v>0</v>
      </c>
      <c r="AY127" t="b">
        <v>0</v>
      </c>
      <c r="AZ127" t="s">
        <v>80</v>
      </c>
      <c r="BA127">
        <v>0</v>
      </c>
      <c r="BB127">
        <v>0</v>
      </c>
      <c r="BC127">
        <v>0</v>
      </c>
      <c r="BD127">
        <v>0</v>
      </c>
      <c r="BE127" t="s">
        <v>108</v>
      </c>
      <c r="BF127" t="b">
        <v>0</v>
      </c>
    </row>
    <row r="128" spans="1:58" x14ac:dyDescent="0.3">
      <c r="A128" t="s">
        <v>427</v>
      </c>
      <c r="B128" t="s">
        <v>67</v>
      </c>
      <c r="C128" t="s">
        <v>428</v>
      </c>
      <c r="D128" t="s">
        <v>84</v>
      </c>
      <c r="E128" t="s">
        <v>85</v>
      </c>
      <c r="F128" t="s">
        <v>86</v>
      </c>
      <c r="G128" s="1">
        <v>44620</v>
      </c>
      <c r="H128" s="1">
        <v>45596</v>
      </c>
      <c r="I128" s="1">
        <v>45700</v>
      </c>
      <c r="J128">
        <v>952900</v>
      </c>
      <c r="K128">
        <v>36</v>
      </c>
      <c r="L128">
        <v>4</v>
      </c>
      <c r="M128">
        <v>32</v>
      </c>
      <c r="N128">
        <v>13.94</v>
      </c>
      <c r="O128">
        <v>32540.1</v>
      </c>
      <c r="P128" t="s">
        <v>72</v>
      </c>
      <c r="Q128">
        <v>106023.02</v>
      </c>
      <c r="R128">
        <v>32540.1</v>
      </c>
      <c r="S128">
        <v>31019.05</v>
      </c>
      <c r="T128" s="1">
        <v>45574</v>
      </c>
      <c r="U128" t="s">
        <v>73</v>
      </c>
      <c r="V128">
        <v>0</v>
      </c>
      <c r="W128">
        <v>32</v>
      </c>
      <c r="X128">
        <v>32</v>
      </c>
      <c r="Y128">
        <v>0</v>
      </c>
      <c r="Z128">
        <v>0</v>
      </c>
      <c r="AA128">
        <v>0</v>
      </c>
      <c r="AB128" t="s">
        <v>125</v>
      </c>
      <c r="AC128" t="s">
        <v>191</v>
      </c>
      <c r="AD128">
        <v>2022</v>
      </c>
      <c r="AE128" t="s">
        <v>90</v>
      </c>
      <c r="AF128" t="b">
        <v>1</v>
      </c>
      <c r="AG128">
        <v>1092000</v>
      </c>
      <c r="AH128">
        <v>658373.27</v>
      </c>
      <c r="AI128">
        <v>0.87260000000000004</v>
      </c>
      <c r="AJ128">
        <v>0.15759999999999999</v>
      </c>
      <c r="AK128">
        <v>55</v>
      </c>
      <c r="AL128" t="s">
        <v>132</v>
      </c>
      <c r="AM128">
        <v>1808000</v>
      </c>
      <c r="AN128">
        <v>0.216</v>
      </c>
      <c r="AO128">
        <v>660</v>
      </c>
      <c r="AP128">
        <v>671</v>
      </c>
      <c r="AQ128" t="s">
        <v>91</v>
      </c>
      <c r="AR128" t="s">
        <v>252</v>
      </c>
      <c r="AS128">
        <v>1</v>
      </c>
      <c r="AT128">
        <v>1.8800000000000001E-2</v>
      </c>
      <c r="AU128">
        <v>0.57509999999999994</v>
      </c>
      <c r="AV128">
        <v>106702.87</v>
      </c>
      <c r="AW128">
        <v>1153.6600000000001</v>
      </c>
      <c r="AX128" t="b">
        <v>0</v>
      </c>
      <c r="AY128" t="b">
        <v>0</v>
      </c>
      <c r="AZ128" t="s">
        <v>80</v>
      </c>
      <c r="BA128">
        <v>0</v>
      </c>
      <c r="BB128">
        <v>0</v>
      </c>
      <c r="BC128">
        <v>0</v>
      </c>
      <c r="BD128">
        <v>0</v>
      </c>
      <c r="BE128" t="s">
        <v>108</v>
      </c>
      <c r="BF128" t="b">
        <v>1</v>
      </c>
    </row>
    <row r="129" spans="1:58" x14ac:dyDescent="0.3">
      <c r="A129" t="s">
        <v>429</v>
      </c>
      <c r="B129" t="s">
        <v>67</v>
      </c>
      <c r="C129" t="s">
        <v>430</v>
      </c>
      <c r="D129" t="s">
        <v>95</v>
      </c>
      <c r="E129" t="s">
        <v>96</v>
      </c>
      <c r="F129" t="s">
        <v>124</v>
      </c>
      <c r="G129" s="1">
        <v>44554</v>
      </c>
      <c r="H129" s="1">
        <v>45596</v>
      </c>
      <c r="I129" s="1">
        <v>45994</v>
      </c>
      <c r="J129">
        <v>996100</v>
      </c>
      <c r="K129">
        <v>48</v>
      </c>
      <c r="L129">
        <v>14</v>
      </c>
      <c r="M129">
        <v>34</v>
      </c>
      <c r="N129">
        <v>10.16</v>
      </c>
      <c r="O129">
        <v>25340.28</v>
      </c>
      <c r="P129" t="s">
        <v>72</v>
      </c>
      <c r="Q129">
        <v>265866.78000000003</v>
      </c>
      <c r="R129">
        <v>25340.28</v>
      </c>
      <c r="S129">
        <v>26110.85</v>
      </c>
      <c r="T129" s="1">
        <v>45561</v>
      </c>
      <c r="U129" t="s">
        <v>73</v>
      </c>
      <c r="V129">
        <v>0</v>
      </c>
      <c r="W129">
        <v>34</v>
      </c>
      <c r="X129">
        <v>34</v>
      </c>
      <c r="Y129">
        <v>0</v>
      </c>
      <c r="Z129">
        <v>0</v>
      </c>
      <c r="AA129">
        <v>0</v>
      </c>
      <c r="AB129" t="s">
        <v>164</v>
      </c>
      <c r="AC129" t="s">
        <v>279</v>
      </c>
      <c r="AD129">
        <v>2021</v>
      </c>
      <c r="AE129" t="s">
        <v>166</v>
      </c>
      <c r="AF129" t="b">
        <v>1</v>
      </c>
      <c r="AG129">
        <v>1652000</v>
      </c>
      <c r="AH129">
        <v>964726.2</v>
      </c>
      <c r="AI129">
        <v>0.60289999999999999</v>
      </c>
      <c r="AJ129">
        <v>0.27189999999999998</v>
      </c>
      <c r="AK129">
        <v>40</v>
      </c>
      <c r="AL129" t="s">
        <v>77</v>
      </c>
      <c r="AM129">
        <v>2878000</v>
      </c>
      <c r="AN129">
        <v>0.1057</v>
      </c>
      <c r="AO129">
        <v>710</v>
      </c>
      <c r="AP129">
        <v>694</v>
      </c>
      <c r="AQ129" t="s">
        <v>127</v>
      </c>
      <c r="AR129" t="s">
        <v>185</v>
      </c>
      <c r="AS129">
        <v>1</v>
      </c>
      <c r="AT129">
        <v>1.6199999999999999E-2</v>
      </c>
      <c r="AU129">
        <v>0.38929999999999998</v>
      </c>
      <c r="AV129">
        <v>273522.32</v>
      </c>
      <c r="AW129">
        <v>1725.01</v>
      </c>
      <c r="AX129" t="b">
        <v>0</v>
      </c>
      <c r="AY129" t="b">
        <v>0</v>
      </c>
      <c r="AZ129" t="s">
        <v>80</v>
      </c>
      <c r="BA129">
        <v>0</v>
      </c>
      <c r="BB129">
        <v>0</v>
      </c>
      <c r="BC129">
        <v>0</v>
      </c>
      <c r="BD129">
        <v>0</v>
      </c>
      <c r="BE129" t="s">
        <v>134</v>
      </c>
      <c r="BF129" t="b">
        <v>1</v>
      </c>
    </row>
    <row r="130" spans="1:58" x14ac:dyDescent="0.3">
      <c r="A130" t="s">
        <v>431</v>
      </c>
      <c r="B130" t="s">
        <v>67</v>
      </c>
      <c r="C130" t="s">
        <v>432</v>
      </c>
      <c r="D130" t="s">
        <v>84</v>
      </c>
      <c r="E130" t="s">
        <v>85</v>
      </c>
      <c r="F130" t="s">
        <v>86</v>
      </c>
      <c r="G130" s="1">
        <v>44977</v>
      </c>
      <c r="H130" s="1">
        <v>45596</v>
      </c>
      <c r="I130" s="1">
        <v>47137</v>
      </c>
      <c r="J130">
        <v>761500</v>
      </c>
      <c r="K130">
        <v>72</v>
      </c>
      <c r="L130">
        <v>52</v>
      </c>
      <c r="M130">
        <v>20</v>
      </c>
      <c r="N130">
        <v>11</v>
      </c>
      <c r="O130">
        <v>14494.45</v>
      </c>
      <c r="P130" t="s">
        <v>72</v>
      </c>
      <c r="Q130">
        <v>577104.69999999995</v>
      </c>
      <c r="R130">
        <v>14494.45</v>
      </c>
      <c r="S130">
        <v>13945.45</v>
      </c>
      <c r="T130" s="1">
        <v>45584</v>
      </c>
      <c r="U130" t="s">
        <v>73</v>
      </c>
      <c r="V130">
        <v>0</v>
      </c>
      <c r="W130">
        <v>20</v>
      </c>
      <c r="X130">
        <v>20</v>
      </c>
      <c r="Y130">
        <v>0</v>
      </c>
      <c r="Z130">
        <v>0</v>
      </c>
      <c r="AA130">
        <v>0</v>
      </c>
      <c r="AB130" t="s">
        <v>125</v>
      </c>
      <c r="AC130" t="s">
        <v>191</v>
      </c>
      <c r="AD130">
        <v>2023</v>
      </c>
      <c r="AE130" t="s">
        <v>76</v>
      </c>
      <c r="AF130" t="b">
        <v>1</v>
      </c>
      <c r="AG130">
        <v>1262000</v>
      </c>
      <c r="AH130">
        <v>973862.39</v>
      </c>
      <c r="AI130">
        <v>0.60340000000000005</v>
      </c>
      <c r="AJ130">
        <v>0.60170000000000001</v>
      </c>
      <c r="AK130">
        <v>56</v>
      </c>
      <c r="AL130" t="s">
        <v>106</v>
      </c>
      <c r="AM130">
        <v>1920000</v>
      </c>
      <c r="AN130">
        <v>9.06E-2</v>
      </c>
      <c r="AO130">
        <v>793</v>
      </c>
      <c r="AP130">
        <v>815</v>
      </c>
      <c r="AQ130" t="s">
        <v>145</v>
      </c>
      <c r="AR130" t="s">
        <v>182</v>
      </c>
      <c r="AS130">
        <v>1</v>
      </c>
      <c r="AT130">
        <v>1.7100000000000001E-2</v>
      </c>
      <c r="AU130">
        <v>0.45810000000000001</v>
      </c>
      <c r="AV130">
        <v>593191.25</v>
      </c>
      <c r="AW130">
        <v>4646.7700000000004</v>
      </c>
      <c r="AX130" t="b">
        <v>0</v>
      </c>
      <c r="AY130" t="b">
        <v>0</v>
      </c>
      <c r="AZ130" t="s">
        <v>80</v>
      </c>
      <c r="BA130">
        <v>0</v>
      </c>
      <c r="BB130">
        <v>0</v>
      </c>
      <c r="BC130">
        <v>0</v>
      </c>
      <c r="BD130">
        <v>0</v>
      </c>
      <c r="BE130" t="s">
        <v>134</v>
      </c>
      <c r="BF130" t="b">
        <v>1</v>
      </c>
    </row>
    <row r="131" spans="1:58" x14ac:dyDescent="0.3">
      <c r="A131" t="s">
        <v>433</v>
      </c>
      <c r="B131" t="s">
        <v>67</v>
      </c>
      <c r="C131" t="s">
        <v>434</v>
      </c>
      <c r="D131" t="s">
        <v>84</v>
      </c>
      <c r="E131" t="s">
        <v>85</v>
      </c>
      <c r="F131" t="s">
        <v>124</v>
      </c>
      <c r="G131" s="1">
        <v>45527</v>
      </c>
      <c r="H131" s="1">
        <v>45596</v>
      </c>
      <c r="I131" s="1">
        <v>47687</v>
      </c>
      <c r="J131">
        <v>1469900</v>
      </c>
      <c r="K131">
        <v>72</v>
      </c>
      <c r="L131">
        <v>70</v>
      </c>
      <c r="M131">
        <v>2</v>
      </c>
      <c r="N131">
        <v>12.92</v>
      </c>
      <c r="O131">
        <v>29444.9</v>
      </c>
      <c r="P131" t="s">
        <v>72</v>
      </c>
      <c r="Q131">
        <v>1381966.63</v>
      </c>
      <c r="R131">
        <v>29444.9</v>
      </c>
      <c r="S131">
        <v>9751.89</v>
      </c>
      <c r="T131" s="1">
        <v>45585</v>
      </c>
      <c r="U131" t="s">
        <v>87</v>
      </c>
      <c r="V131">
        <v>3</v>
      </c>
      <c r="W131">
        <v>2</v>
      </c>
      <c r="X131">
        <v>1</v>
      </c>
      <c r="Y131">
        <v>2</v>
      </c>
      <c r="Z131">
        <v>0</v>
      </c>
      <c r="AA131">
        <v>0</v>
      </c>
      <c r="AB131" t="s">
        <v>97</v>
      </c>
      <c r="AC131" t="s">
        <v>98</v>
      </c>
      <c r="AD131">
        <v>2024</v>
      </c>
      <c r="AE131" t="s">
        <v>119</v>
      </c>
      <c r="AF131" t="b">
        <v>1</v>
      </c>
      <c r="AG131">
        <v>1759000</v>
      </c>
      <c r="AH131">
        <v>1838405.05</v>
      </c>
      <c r="AI131">
        <v>0.83560000000000001</v>
      </c>
      <c r="AJ131">
        <v>0.80500000000000005</v>
      </c>
      <c r="AK131">
        <v>46</v>
      </c>
      <c r="AL131" t="s">
        <v>106</v>
      </c>
      <c r="AM131">
        <v>4809000</v>
      </c>
      <c r="AN131">
        <v>7.3499999999999996E-2</v>
      </c>
      <c r="AO131">
        <v>692</v>
      </c>
      <c r="AP131">
        <v>685</v>
      </c>
      <c r="AQ131" t="s">
        <v>127</v>
      </c>
      <c r="AR131" t="s">
        <v>215</v>
      </c>
      <c r="AS131">
        <v>1</v>
      </c>
      <c r="AT131">
        <v>1.7299999999999999E-2</v>
      </c>
      <c r="AU131">
        <v>0.48349999999999999</v>
      </c>
      <c r="AV131">
        <v>1441585.12</v>
      </c>
      <c r="AW131">
        <v>12058.21</v>
      </c>
      <c r="AX131" t="b">
        <v>0</v>
      </c>
      <c r="AY131" t="b">
        <v>0</v>
      </c>
      <c r="AZ131" t="s">
        <v>80</v>
      </c>
      <c r="BA131">
        <v>0</v>
      </c>
      <c r="BB131">
        <v>0</v>
      </c>
      <c r="BC131">
        <v>0</v>
      </c>
      <c r="BD131">
        <v>0</v>
      </c>
      <c r="BE131" t="s">
        <v>134</v>
      </c>
      <c r="BF131" t="b">
        <v>1</v>
      </c>
    </row>
    <row r="132" spans="1:58" x14ac:dyDescent="0.3">
      <c r="A132" t="s">
        <v>435</v>
      </c>
      <c r="B132" t="s">
        <v>67</v>
      </c>
      <c r="C132" t="s">
        <v>436</v>
      </c>
      <c r="D132" t="s">
        <v>95</v>
      </c>
      <c r="E132" t="s">
        <v>96</v>
      </c>
      <c r="F132" t="s">
        <v>71</v>
      </c>
      <c r="G132" s="1">
        <v>44453</v>
      </c>
      <c r="H132" s="1">
        <v>45596</v>
      </c>
      <c r="I132" s="1">
        <v>45533</v>
      </c>
      <c r="J132">
        <v>390900</v>
      </c>
      <c r="K132">
        <v>36</v>
      </c>
      <c r="L132">
        <v>0</v>
      </c>
      <c r="M132">
        <v>37</v>
      </c>
      <c r="N132">
        <v>7.95</v>
      </c>
      <c r="O132">
        <v>12240.37</v>
      </c>
      <c r="P132" t="s">
        <v>72</v>
      </c>
      <c r="Q132">
        <v>0</v>
      </c>
      <c r="R132">
        <v>12240.37</v>
      </c>
      <c r="S132">
        <v>12026.41</v>
      </c>
      <c r="T132" s="1">
        <v>45566</v>
      </c>
      <c r="U132" t="s">
        <v>73</v>
      </c>
      <c r="V132">
        <v>0</v>
      </c>
      <c r="W132">
        <v>37</v>
      </c>
      <c r="X132">
        <v>37</v>
      </c>
      <c r="Y132">
        <v>0</v>
      </c>
      <c r="Z132">
        <v>0</v>
      </c>
      <c r="AA132">
        <v>0</v>
      </c>
      <c r="AB132" t="s">
        <v>125</v>
      </c>
      <c r="AC132" t="s">
        <v>238</v>
      </c>
      <c r="AD132">
        <v>2021</v>
      </c>
      <c r="AE132" t="s">
        <v>99</v>
      </c>
      <c r="AF132" t="b">
        <v>1</v>
      </c>
      <c r="AG132">
        <v>529000</v>
      </c>
      <c r="AH132">
        <v>292194.15999999997</v>
      </c>
      <c r="AI132">
        <v>0.73899999999999999</v>
      </c>
      <c r="AJ132">
        <v>0</v>
      </c>
      <c r="AK132">
        <v>28</v>
      </c>
      <c r="AL132" t="s">
        <v>132</v>
      </c>
      <c r="AM132">
        <v>1762000</v>
      </c>
      <c r="AN132">
        <v>8.3400000000000002E-2</v>
      </c>
      <c r="AO132">
        <v>671</v>
      </c>
      <c r="AP132">
        <v>634</v>
      </c>
      <c r="AQ132" t="s">
        <v>91</v>
      </c>
      <c r="AR132" t="s">
        <v>252</v>
      </c>
      <c r="AS132">
        <v>1</v>
      </c>
      <c r="AT132">
        <v>1.5599999999999999E-2</v>
      </c>
      <c r="AU132">
        <v>0.60160000000000002</v>
      </c>
      <c r="AV132">
        <v>0</v>
      </c>
      <c r="AW132">
        <v>0</v>
      </c>
      <c r="AX132" t="b">
        <v>0</v>
      </c>
      <c r="AY132" t="b">
        <v>0</v>
      </c>
      <c r="AZ132" t="s">
        <v>80</v>
      </c>
      <c r="BA132">
        <v>0</v>
      </c>
      <c r="BB132">
        <v>0</v>
      </c>
      <c r="BC132">
        <v>0</v>
      </c>
      <c r="BD132">
        <v>0</v>
      </c>
      <c r="BE132" t="s">
        <v>108</v>
      </c>
      <c r="BF132" t="b">
        <v>0</v>
      </c>
    </row>
    <row r="133" spans="1:58" x14ac:dyDescent="0.3">
      <c r="A133" t="s">
        <v>437</v>
      </c>
      <c r="B133" t="s">
        <v>67</v>
      </c>
      <c r="C133" t="s">
        <v>438</v>
      </c>
      <c r="D133" t="s">
        <v>84</v>
      </c>
      <c r="E133" t="s">
        <v>85</v>
      </c>
      <c r="F133" t="s">
        <v>115</v>
      </c>
      <c r="G133" s="1">
        <v>45304</v>
      </c>
      <c r="H133" s="1">
        <v>45596</v>
      </c>
      <c r="I133" s="1">
        <v>47824</v>
      </c>
      <c r="J133">
        <v>724200</v>
      </c>
      <c r="K133">
        <v>84</v>
      </c>
      <c r="L133">
        <v>75</v>
      </c>
      <c r="M133">
        <v>9</v>
      </c>
      <c r="N133">
        <v>10.54</v>
      </c>
      <c r="O133">
        <v>12225.6</v>
      </c>
      <c r="P133" t="s">
        <v>72</v>
      </c>
      <c r="Q133">
        <v>644000.01</v>
      </c>
      <c r="R133">
        <v>12225.6</v>
      </c>
      <c r="S133">
        <v>12589.88</v>
      </c>
      <c r="T133" s="1">
        <v>45582</v>
      </c>
      <c r="U133" t="s">
        <v>73</v>
      </c>
      <c r="V133">
        <v>0</v>
      </c>
      <c r="W133">
        <v>9</v>
      </c>
      <c r="X133">
        <v>9</v>
      </c>
      <c r="Y133">
        <v>0</v>
      </c>
      <c r="Z133">
        <v>0</v>
      </c>
      <c r="AA133">
        <v>0</v>
      </c>
      <c r="AB133" t="s">
        <v>88</v>
      </c>
      <c r="AC133" t="s">
        <v>181</v>
      </c>
      <c r="AD133">
        <v>2024</v>
      </c>
      <c r="AE133" t="s">
        <v>90</v>
      </c>
      <c r="AF133" t="b">
        <v>1</v>
      </c>
      <c r="AG133">
        <v>895000</v>
      </c>
      <c r="AH133">
        <v>845724.25</v>
      </c>
      <c r="AI133">
        <v>0.80920000000000003</v>
      </c>
      <c r="AJ133">
        <v>0.80669999999999997</v>
      </c>
      <c r="AK133">
        <v>41</v>
      </c>
      <c r="AL133" t="s">
        <v>106</v>
      </c>
      <c r="AM133">
        <v>1599000</v>
      </c>
      <c r="AN133">
        <v>9.1700000000000004E-2</v>
      </c>
      <c r="AO133">
        <v>672</v>
      </c>
      <c r="AP133">
        <v>678</v>
      </c>
      <c r="AQ133" t="s">
        <v>91</v>
      </c>
      <c r="AR133" t="s">
        <v>192</v>
      </c>
      <c r="AS133">
        <v>1</v>
      </c>
      <c r="AT133">
        <v>2.23E-2</v>
      </c>
      <c r="AU133">
        <v>0.49759999999999999</v>
      </c>
      <c r="AV133">
        <v>668326.23</v>
      </c>
      <c r="AW133">
        <v>7416.07</v>
      </c>
      <c r="AX133" t="b">
        <v>0</v>
      </c>
      <c r="AY133" t="b">
        <v>0</v>
      </c>
      <c r="AZ133" t="s">
        <v>80</v>
      </c>
      <c r="BA133">
        <v>0</v>
      </c>
      <c r="BB133">
        <v>0</v>
      </c>
      <c r="BC133">
        <v>0</v>
      </c>
      <c r="BD133">
        <v>0</v>
      </c>
      <c r="BE133" t="s">
        <v>108</v>
      </c>
      <c r="BF133" t="b">
        <v>0</v>
      </c>
    </row>
    <row r="134" spans="1:58" x14ac:dyDescent="0.3">
      <c r="A134" t="s">
        <v>439</v>
      </c>
      <c r="B134" t="s">
        <v>67</v>
      </c>
      <c r="C134" t="s">
        <v>440</v>
      </c>
      <c r="D134" t="s">
        <v>69</v>
      </c>
      <c r="E134" t="s">
        <v>70</v>
      </c>
      <c r="F134" t="s">
        <v>124</v>
      </c>
      <c r="G134" s="1">
        <v>45319</v>
      </c>
      <c r="H134" s="1">
        <v>45596</v>
      </c>
      <c r="I134" s="1">
        <v>47479</v>
      </c>
      <c r="J134">
        <v>811900</v>
      </c>
      <c r="K134">
        <v>72</v>
      </c>
      <c r="L134">
        <v>63</v>
      </c>
      <c r="M134">
        <v>9</v>
      </c>
      <c r="N134">
        <v>13.3</v>
      </c>
      <c r="O134">
        <v>16427</v>
      </c>
      <c r="P134" t="s">
        <v>72</v>
      </c>
      <c r="Q134">
        <v>662877.99</v>
      </c>
      <c r="R134">
        <v>16427</v>
      </c>
      <c r="S134">
        <v>17198.599999999999</v>
      </c>
      <c r="T134" s="1">
        <v>45595</v>
      </c>
      <c r="U134" t="s">
        <v>73</v>
      </c>
      <c r="V134">
        <v>0</v>
      </c>
      <c r="W134">
        <v>9</v>
      </c>
      <c r="X134">
        <v>9</v>
      </c>
      <c r="Y134">
        <v>0</v>
      </c>
      <c r="Z134">
        <v>0</v>
      </c>
      <c r="AA134">
        <v>0</v>
      </c>
      <c r="AB134" t="s">
        <v>111</v>
      </c>
      <c r="AC134" t="s">
        <v>228</v>
      </c>
      <c r="AD134">
        <v>2024</v>
      </c>
      <c r="AE134" t="s">
        <v>90</v>
      </c>
      <c r="AF134" t="b">
        <v>1</v>
      </c>
      <c r="AG134">
        <v>1181000</v>
      </c>
      <c r="AH134">
        <v>987282.07</v>
      </c>
      <c r="AI134">
        <v>0.6875</v>
      </c>
      <c r="AJ134">
        <v>0.62919999999999998</v>
      </c>
      <c r="AK134">
        <v>49</v>
      </c>
      <c r="AL134" t="s">
        <v>77</v>
      </c>
      <c r="AM134">
        <v>2728000</v>
      </c>
      <c r="AN134">
        <v>7.2300000000000003E-2</v>
      </c>
      <c r="AO134">
        <v>806</v>
      </c>
      <c r="AP134">
        <v>790</v>
      </c>
      <c r="AQ134" t="s">
        <v>91</v>
      </c>
      <c r="AR134" t="s">
        <v>252</v>
      </c>
      <c r="AS134">
        <v>1</v>
      </c>
      <c r="AT134">
        <v>2.1399999999999999E-2</v>
      </c>
      <c r="AU134">
        <v>0.43159999999999998</v>
      </c>
      <c r="AV134">
        <v>683518.48</v>
      </c>
      <c r="AW134">
        <v>6313.14</v>
      </c>
      <c r="AX134" t="b">
        <v>0</v>
      </c>
      <c r="AY134" t="b">
        <v>0</v>
      </c>
      <c r="AZ134" t="s">
        <v>80</v>
      </c>
      <c r="BA134">
        <v>0</v>
      </c>
      <c r="BB134">
        <v>0</v>
      </c>
      <c r="BC134">
        <v>0</v>
      </c>
      <c r="BD134">
        <v>0</v>
      </c>
      <c r="BE134" t="s">
        <v>81</v>
      </c>
      <c r="BF134" t="b">
        <v>1</v>
      </c>
    </row>
    <row r="135" spans="1:58" x14ac:dyDescent="0.3">
      <c r="A135" t="s">
        <v>441</v>
      </c>
      <c r="B135" t="s">
        <v>67</v>
      </c>
      <c r="C135" t="s">
        <v>442</v>
      </c>
      <c r="D135" t="s">
        <v>69</v>
      </c>
      <c r="E135" t="s">
        <v>70</v>
      </c>
      <c r="F135" t="s">
        <v>115</v>
      </c>
      <c r="G135" s="1">
        <v>44406</v>
      </c>
      <c r="H135" s="1">
        <v>45596</v>
      </c>
      <c r="I135" s="1">
        <v>46566</v>
      </c>
      <c r="J135">
        <v>231100</v>
      </c>
      <c r="K135">
        <v>72</v>
      </c>
      <c r="L135">
        <v>33</v>
      </c>
      <c r="M135">
        <v>39</v>
      </c>
      <c r="N135">
        <v>9.68</v>
      </c>
      <c r="O135">
        <v>4244.12</v>
      </c>
      <c r="P135" t="s">
        <v>139</v>
      </c>
      <c r="Q135">
        <v>108030.71</v>
      </c>
      <c r="R135">
        <v>4244.12</v>
      </c>
      <c r="S135">
        <v>4116.45</v>
      </c>
      <c r="T135" s="1">
        <v>45590</v>
      </c>
      <c r="U135" t="s">
        <v>73</v>
      </c>
      <c r="V135">
        <v>0</v>
      </c>
      <c r="W135">
        <v>39</v>
      </c>
      <c r="X135">
        <v>39</v>
      </c>
      <c r="Y135">
        <v>0</v>
      </c>
      <c r="Z135">
        <v>0</v>
      </c>
      <c r="AA135">
        <v>0</v>
      </c>
      <c r="AB135" t="s">
        <v>88</v>
      </c>
      <c r="AC135" t="s">
        <v>171</v>
      </c>
      <c r="AD135">
        <v>2017</v>
      </c>
      <c r="AE135" t="s">
        <v>99</v>
      </c>
      <c r="AF135" t="b">
        <v>0</v>
      </c>
      <c r="AG135">
        <v>299000</v>
      </c>
      <c r="AH135">
        <v>159740.51</v>
      </c>
      <c r="AI135">
        <v>0.77280000000000004</v>
      </c>
      <c r="AJ135">
        <v>0.67910000000000004</v>
      </c>
      <c r="AK135">
        <v>54</v>
      </c>
      <c r="AL135" t="s">
        <v>132</v>
      </c>
      <c r="AM135">
        <v>2593000</v>
      </c>
      <c r="AN135">
        <v>1.9599999999999999E-2</v>
      </c>
      <c r="AO135">
        <v>687</v>
      </c>
      <c r="AP135">
        <v>644</v>
      </c>
      <c r="AQ135" t="s">
        <v>91</v>
      </c>
      <c r="AR135" t="s">
        <v>192</v>
      </c>
      <c r="AS135">
        <v>1</v>
      </c>
      <c r="AT135">
        <v>2.5700000000000001E-2</v>
      </c>
      <c r="AU135">
        <v>0.56440000000000001</v>
      </c>
      <c r="AV135">
        <v>110109.21</v>
      </c>
      <c r="AW135">
        <v>1597.14</v>
      </c>
      <c r="AX135" t="b">
        <v>0</v>
      </c>
      <c r="AY135" t="b">
        <v>0</v>
      </c>
      <c r="AZ135" t="s">
        <v>80</v>
      </c>
      <c r="BA135">
        <v>0</v>
      </c>
      <c r="BB135">
        <v>0</v>
      </c>
      <c r="BC135">
        <v>0</v>
      </c>
      <c r="BD135">
        <v>0</v>
      </c>
      <c r="BE135" t="s">
        <v>81</v>
      </c>
      <c r="BF135" t="b">
        <v>1</v>
      </c>
    </row>
    <row r="136" spans="1:58" x14ac:dyDescent="0.3">
      <c r="A136" t="s">
        <v>443</v>
      </c>
      <c r="B136" t="s">
        <v>67</v>
      </c>
      <c r="C136" t="s">
        <v>444</v>
      </c>
      <c r="D136" t="s">
        <v>84</v>
      </c>
      <c r="E136" t="s">
        <v>85</v>
      </c>
      <c r="F136" t="s">
        <v>124</v>
      </c>
      <c r="G136" s="1">
        <v>44623</v>
      </c>
      <c r="H136" s="1">
        <v>45596</v>
      </c>
      <c r="I136" s="1">
        <v>45703</v>
      </c>
      <c r="J136">
        <v>2181600</v>
      </c>
      <c r="K136">
        <v>36</v>
      </c>
      <c r="L136">
        <v>5</v>
      </c>
      <c r="M136">
        <v>31</v>
      </c>
      <c r="N136">
        <v>12.71</v>
      </c>
      <c r="O136">
        <v>73202.37</v>
      </c>
      <c r="P136" t="s">
        <v>72</v>
      </c>
      <c r="Q136">
        <v>297678.40999999997</v>
      </c>
      <c r="R136">
        <v>73202.37</v>
      </c>
      <c r="S136">
        <v>36229.019999999997</v>
      </c>
      <c r="T136" s="1">
        <v>45593</v>
      </c>
      <c r="U136" t="s">
        <v>140</v>
      </c>
      <c r="V136">
        <v>123</v>
      </c>
      <c r="W136">
        <v>31</v>
      </c>
      <c r="X136">
        <v>27</v>
      </c>
      <c r="Y136">
        <v>0</v>
      </c>
      <c r="Z136">
        <v>1</v>
      </c>
      <c r="AA136">
        <v>0</v>
      </c>
      <c r="AB136" t="s">
        <v>164</v>
      </c>
      <c r="AC136" t="s">
        <v>165</v>
      </c>
      <c r="AD136">
        <v>2022</v>
      </c>
      <c r="AE136" t="s">
        <v>119</v>
      </c>
      <c r="AF136" t="b">
        <v>1</v>
      </c>
      <c r="AG136">
        <v>3328000</v>
      </c>
      <c r="AH136">
        <v>1905971.41</v>
      </c>
      <c r="AI136">
        <v>0.65549999999999997</v>
      </c>
      <c r="AJ136">
        <v>0.1424</v>
      </c>
      <c r="AK136">
        <v>40</v>
      </c>
      <c r="AL136" t="s">
        <v>120</v>
      </c>
      <c r="AM136">
        <v>3301000</v>
      </c>
      <c r="AN136">
        <v>0.2661</v>
      </c>
      <c r="AO136">
        <v>700</v>
      </c>
      <c r="AP136">
        <v>696</v>
      </c>
      <c r="AQ136" t="s">
        <v>145</v>
      </c>
      <c r="AR136" t="s">
        <v>176</v>
      </c>
      <c r="AS136">
        <v>3</v>
      </c>
      <c r="AT136">
        <v>0.94610000000000005</v>
      </c>
      <c r="AU136">
        <v>0.39650000000000002</v>
      </c>
      <c r="AV136">
        <v>309150.89</v>
      </c>
      <c r="AW136">
        <v>115971.36</v>
      </c>
      <c r="AX136" t="b">
        <v>0</v>
      </c>
      <c r="AY136" t="b">
        <v>1</v>
      </c>
      <c r="AZ136" t="s">
        <v>361</v>
      </c>
      <c r="BA136">
        <v>0</v>
      </c>
      <c r="BB136">
        <v>0</v>
      </c>
      <c r="BC136">
        <v>0</v>
      </c>
      <c r="BD136">
        <v>0</v>
      </c>
      <c r="BE136" t="s">
        <v>108</v>
      </c>
      <c r="BF136" t="b">
        <v>1</v>
      </c>
    </row>
    <row r="137" spans="1:58" x14ac:dyDescent="0.3">
      <c r="A137" t="s">
        <v>445</v>
      </c>
      <c r="B137" t="s">
        <v>67</v>
      </c>
      <c r="C137" t="s">
        <v>446</v>
      </c>
      <c r="D137" t="s">
        <v>95</v>
      </c>
      <c r="E137" t="s">
        <v>96</v>
      </c>
      <c r="F137" t="s">
        <v>86</v>
      </c>
      <c r="G137" s="1">
        <v>45517</v>
      </c>
      <c r="H137" s="1">
        <v>45596</v>
      </c>
      <c r="I137" s="1">
        <v>48037</v>
      </c>
      <c r="J137">
        <v>311400</v>
      </c>
      <c r="K137">
        <v>84</v>
      </c>
      <c r="L137">
        <v>82</v>
      </c>
      <c r="M137">
        <v>2</v>
      </c>
      <c r="N137">
        <v>13.02</v>
      </c>
      <c r="O137">
        <v>5668.36</v>
      </c>
      <c r="P137" t="s">
        <v>72</v>
      </c>
      <c r="Q137">
        <v>308090.93</v>
      </c>
      <c r="R137">
        <v>5668.36</v>
      </c>
      <c r="S137">
        <v>2408.54</v>
      </c>
      <c r="T137" s="1">
        <v>45568</v>
      </c>
      <c r="U137" t="s">
        <v>143</v>
      </c>
      <c r="V137">
        <v>52</v>
      </c>
      <c r="W137">
        <v>2</v>
      </c>
      <c r="X137">
        <v>0</v>
      </c>
      <c r="Y137">
        <v>1</v>
      </c>
      <c r="Z137">
        <v>2</v>
      </c>
      <c r="AA137">
        <v>0</v>
      </c>
      <c r="AB137" t="s">
        <v>208</v>
      </c>
      <c r="AC137" t="s">
        <v>405</v>
      </c>
      <c r="AD137">
        <v>2024</v>
      </c>
      <c r="AE137" t="s">
        <v>99</v>
      </c>
      <c r="AF137" t="b">
        <v>1</v>
      </c>
      <c r="AG137">
        <v>457000</v>
      </c>
      <c r="AH137">
        <v>427804.69</v>
      </c>
      <c r="AI137">
        <v>0.68140000000000001</v>
      </c>
      <c r="AJ137">
        <v>0.69069999999999998</v>
      </c>
      <c r="AK137">
        <v>50</v>
      </c>
      <c r="AL137" t="s">
        <v>77</v>
      </c>
      <c r="AM137">
        <v>400000</v>
      </c>
      <c r="AN137">
        <v>0.1701</v>
      </c>
      <c r="AO137">
        <v>746</v>
      </c>
      <c r="AP137">
        <v>741</v>
      </c>
      <c r="AQ137" t="s">
        <v>100</v>
      </c>
      <c r="AR137" t="s">
        <v>101</v>
      </c>
      <c r="AS137">
        <v>2</v>
      </c>
      <c r="AT137">
        <v>0.13669999999999999</v>
      </c>
      <c r="AU137">
        <v>0.43259999999999998</v>
      </c>
      <c r="AV137">
        <v>320897.49</v>
      </c>
      <c r="AW137">
        <v>18976.73</v>
      </c>
      <c r="AX137" t="b">
        <v>0</v>
      </c>
      <c r="AY137" t="b">
        <v>0</v>
      </c>
      <c r="AZ137" t="s">
        <v>80</v>
      </c>
      <c r="BA137">
        <v>0</v>
      </c>
      <c r="BB137">
        <v>0</v>
      </c>
      <c r="BC137">
        <v>0</v>
      </c>
      <c r="BD137">
        <v>0</v>
      </c>
      <c r="BE137" t="s">
        <v>81</v>
      </c>
      <c r="BF137" t="b">
        <v>1</v>
      </c>
    </row>
    <row r="138" spans="1:58" x14ac:dyDescent="0.3">
      <c r="A138" t="s">
        <v>447</v>
      </c>
      <c r="B138" t="s">
        <v>67</v>
      </c>
      <c r="C138" t="s">
        <v>448</v>
      </c>
      <c r="D138" t="s">
        <v>69</v>
      </c>
      <c r="E138" t="s">
        <v>70</v>
      </c>
      <c r="F138" t="s">
        <v>115</v>
      </c>
      <c r="G138" s="1">
        <v>44736</v>
      </c>
      <c r="H138" s="1">
        <v>45596</v>
      </c>
      <c r="I138" s="1">
        <v>45816</v>
      </c>
      <c r="J138">
        <v>742700</v>
      </c>
      <c r="K138">
        <v>36</v>
      </c>
      <c r="L138">
        <v>8</v>
      </c>
      <c r="M138">
        <v>28</v>
      </c>
      <c r="N138">
        <v>11.84</v>
      </c>
      <c r="O138">
        <v>24611.55</v>
      </c>
      <c r="P138" t="s">
        <v>72</v>
      </c>
      <c r="Q138">
        <v>157553.29</v>
      </c>
      <c r="R138">
        <v>24611.55</v>
      </c>
      <c r="S138">
        <v>23878.32</v>
      </c>
      <c r="T138" s="1">
        <v>45565</v>
      </c>
      <c r="U138" t="s">
        <v>73</v>
      </c>
      <c r="V138">
        <v>0</v>
      </c>
      <c r="W138">
        <v>28</v>
      </c>
      <c r="X138">
        <v>28</v>
      </c>
      <c r="Y138">
        <v>0</v>
      </c>
      <c r="Z138">
        <v>0</v>
      </c>
      <c r="AA138">
        <v>0</v>
      </c>
      <c r="AB138" t="s">
        <v>97</v>
      </c>
      <c r="AC138" t="s">
        <v>152</v>
      </c>
      <c r="AD138">
        <v>2022</v>
      </c>
      <c r="AE138" t="s">
        <v>90</v>
      </c>
      <c r="AF138" t="b">
        <v>1</v>
      </c>
      <c r="AG138">
        <v>1117000</v>
      </c>
      <c r="AH138">
        <v>695943.15</v>
      </c>
      <c r="AI138">
        <v>0.66490000000000005</v>
      </c>
      <c r="AJ138">
        <v>0.21240000000000001</v>
      </c>
      <c r="AK138">
        <v>39</v>
      </c>
      <c r="AL138" t="s">
        <v>106</v>
      </c>
      <c r="AM138">
        <v>3496000</v>
      </c>
      <c r="AN138">
        <v>8.4500000000000006E-2</v>
      </c>
      <c r="AO138">
        <v>787</v>
      </c>
      <c r="AP138">
        <v>786</v>
      </c>
      <c r="AQ138" t="s">
        <v>100</v>
      </c>
      <c r="AR138" t="s">
        <v>149</v>
      </c>
      <c r="AS138">
        <v>1</v>
      </c>
      <c r="AT138">
        <v>2.0299999999999999E-2</v>
      </c>
      <c r="AU138">
        <v>0.37</v>
      </c>
      <c r="AV138">
        <v>164132.66</v>
      </c>
      <c r="AW138">
        <v>1232.8</v>
      </c>
      <c r="AX138" t="b">
        <v>0</v>
      </c>
      <c r="AY138" t="b">
        <v>0</v>
      </c>
      <c r="AZ138" t="s">
        <v>80</v>
      </c>
      <c r="BA138">
        <v>0</v>
      </c>
      <c r="BB138">
        <v>0</v>
      </c>
      <c r="BC138">
        <v>0</v>
      </c>
      <c r="BD138">
        <v>0</v>
      </c>
      <c r="BE138" t="s">
        <v>108</v>
      </c>
      <c r="BF138" t="b">
        <v>0</v>
      </c>
    </row>
    <row r="139" spans="1:58" x14ac:dyDescent="0.3">
      <c r="A139" t="s">
        <v>449</v>
      </c>
      <c r="B139" t="s">
        <v>67</v>
      </c>
      <c r="C139" t="s">
        <v>450</v>
      </c>
      <c r="D139" t="s">
        <v>69</v>
      </c>
      <c r="E139" t="s">
        <v>70</v>
      </c>
      <c r="F139" t="s">
        <v>115</v>
      </c>
      <c r="G139" s="1">
        <v>44262</v>
      </c>
      <c r="H139" s="1">
        <v>45596</v>
      </c>
      <c r="I139" s="1">
        <v>45342</v>
      </c>
      <c r="J139">
        <v>1118000</v>
      </c>
      <c r="K139">
        <v>36</v>
      </c>
      <c r="L139">
        <v>0</v>
      </c>
      <c r="M139">
        <v>43</v>
      </c>
      <c r="N139">
        <v>10.06</v>
      </c>
      <c r="O139">
        <v>36106.22</v>
      </c>
      <c r="P139" t="s">
        <v>72</v>
      </c>
      <c r="Q139">
        <v>0</v>
      </c>
      <c r="R139">
        <v>36106.22</v>
      </c>
      <c r="S139">
        <v>36220.54</v>
      </c>
      <c r="T139" s="1">
        <v>45584</v>
      </c>
      <c r="U139" t="s">
        <v>73</v>
      </c>
      <c r="V139">
        <v>0</v>
      </c>
      <c r="W139">
        <v>43</v>
      </c>
      <c r="X139">
        <v>43</v>
      </c>
      <c r="Y139">
        <v>0</v>
      </c>
      <c r="Z139">
        <v>0</v>
      </c>
      <c r="AA139">
        <v>0</v>
      </c>
      <c r="AB139" t="s">
        <v>104</v>
      </c>
      <c r="AC139" t="s">
        <v>156</v>
      </c>
      <c r="AD139">
        <v>2021</v>
      </c>
      <c r="AE139" t="s">
        <v>90</v>
      </c>
      <c r="AF139" t="b">
        <v>1</v>
      </c>
      <c r="AG139">
        <v>1386000</v>
      </c>
      <c r="AH139">
        <v>629651.43000000005</v>
      </c>
      <c r="AI139">
        <v>0.80659999999999998</v>
      </c>
      <c r="AJ139">
        <v>0</v>
      </c>
      <c r="AK139">
        <v>25</v>
      </c>
      <c r="AL139" t="s">
        <v>77</v>
      </c>
      <c r="AM139">
        <v>3382000</v>
      </c>
      <c r="AN139">
        <v>0.12809999999999999</v>
      </c>
      <c r="AO139">
        <v>670</v>
      </c>
      <c r="AP139">
        <v>679</v>
      </c>
      <c r="AQ139" t="s">
        <v>145</v>
      </c>
      <c r="AR139" t="s">
        <v>157</v>
      </c>
      <c r="AS139">
        <v>1</v>
      </c>
      <c r="AT139">
        <v>2.4E-2</v>
      </c>
      <c r="AU139">
        <v>0.37340000000000001</v>
      </c>
      <c r="AV139">
        <v>0</v>
      </c>
      <c r="AW139">
        <v>0</v>
      </c>
      <c r="AX139" t="b">
        <v>0</v>
      </c>
      <c r="AY139" t="b">
        <v>0</v>
      </c>
      <c r="AZ139" t="s">
        <v>80</v>
      </c>
      <c r="BA139">
        <v>0</v>
      </c>
      <c r="BB139">
        <v>0</v>
      </c>
      <c r="BC139">
        <v>0</v>
      </c>
      <c r="BD139">
        <v>0</v>
      </c>
      <c r="BE139" t="s">
        <v>81</v>
      </c>
      <c r="BF139" t="b">
        <v>1</v>
      </c>
    </row>
    <row r="140" spans="1:58" x14ac:dyDescent="0.3">
      <c r="A140" t="s">
        <v>451</v>
      </c>
      <c r="B140" t="s">
        <v>67</v>
      </c>
      <c r="C140" t="s">
        <v>452</v>
      </c>
      <c r="D140" t="s">
        <v>95</v>
      </c>
      <c r="E140" t="s">
        <v>96</v>
      </c>
      <c r="F140" t="s">
        <v>86</v>
      </c>
      <c r="G140" s="1">
        <v>45542</v>
      </c>
      <c r="H140" s="1">
        <v>45596</v>
      </c>
      <c r="I140" s="1">
        <v>46622</v>
      </c>
      <c r="J140">
        <v>1099200</v>
      </c>
      <c r="K140">
        <v>36</v>
      </c>
      <c r="L140">
        <v>35</v>
      </c>
      <c r="M140">
        <v>1</v>
      </c>
      <c r="N140">
        <v>12.86</v>
      </c>
      <c r="O140">
        <v>36962.31</v>
      </c>
      <c r="P140" t="s">
        <v>72</v>
      </c>
      <c r="Q140">
        <v>1054223.1499999999</v>
      </c>
      <c r="R140">
        <v>36962.31</v>
      </c>
      <c r="S140">
        <v>35904.92</v>
      </c>
      <c r="T140" s="1">
        <v>45561</v>
      </c>
      <c r="U140" t="s">
        <v>73</v>
      </c>
      <c r="V140">
        <v>0</v>
      </c>
      <c r="W140">
        <v>1</v>
      </c>
      <c r="X140">
        <v>1</v>
      </c>
      <c r="Y140">
        <v>0</v>
      </c>
      <c r="Z140">
        <v>0</v>
      </c>
      <c r="AA140">
        <v>0</v>
      </c>
      <c r="AB140" t="s">
        <v>125</v>
      </c>
      <c r="AC140" t="s">
        <v>353</v>
      </c>
      <c r="AD140">
        <v>2024</v>
      </c>
      <c r="AE140" t="s">
        <v>76</v>
      </c>
      <c r="AF140" t="b">
        <v>1</v>
      </c>
      <c r="AG140">
        <v>1382000</v>
      </c>
      <c r="AH140">
        <v>1481789.57</v>
      </c>
      <c r="AI140">
        <v>0.79530000000000001</v>
      </c>
      <c r="AJ140">
        <v>0.77210000000000001</v>
      </c>
      <c r="AK140">
        <v>51</v>
      </c>
      <c r="AL140" t="s">
        <v>120</v>
      </c>
      <c r="AM140">
        <v>4449000</v>
      </c>
      <c r="AN140">
        <v>9.9699999999999997E-2</v>
      </c>
      <c r="AO140">
        <v>692</v>
      </c>
      <c r="AP140">
        <v>665</v>
      </c>
      <c r="AQ140" t="s">
        <v>78</v>
      </c>
      <c r="AR140" t="s">
        <v>133</v>
      </c>
      <c r="AS140">
        <v>1</v>
      </c>
      <c r="AT140">
        <v>1.89E-2</v>
      </c>
      <c r="AU140">
        <v>0.54</v>
      </c>
      <c r="AV140">
        <v>1097770.74</v>
      </c>
      <c r="AW140">
        <v>11203.85</v>
      </c>
      <c r="AX140" t="b">
        <v>0</v>
      </c>
      <c r="AY140" t="b">
        <v>0</v>
      </c>
      <c r="AZ140" t="s">
        <v>80</v>
      </c>
      <c r="BA140">
        <v>0</v>
      </c>
      <c r="BB140">
        <v>0</v>
      </c>
      <c r="BC140">
        <v>0</v>
      </c>
      <c r="BD140">
        <v>0</v>
      </c>
      <c r="BE140" t="s">
        <v>108</v>
      </c>
      <c r="BF140" t="b">
        <v>1</v>
      </c>
    </row>
    <row r="141" spans="1:58" x14ac:dyDescent="0.3">
      <c r="A141" t="s">
        <v>453</v>
      </c>
      <c r="B141" t="s">
        <v>67</v>
      </c>
      <c r="C141" t="s">
        <v>454</v>
      </c>
      <c r="D141" t="s">
        <v>69</v>
      </c>
      <c r="E141" t="s">
        <v>70</v>
      </c>
      <c r="F141" t="s">
        <v>86</v>
      </c>
      <c r="G141" s="1">
        <v>44717</v>
      </c>
      <c r="H141" s="1">
        <v>45596</v>
      </c>
      <c r="I141" s="1">
        <v>46517</v>
      </c>
      <c r="J141">
        <v>490300</v>
      </c>
      <c r="K141">
        <v>60</v>
      </c>
      <c r="L141">
        <v>32</v>
      </c>
      <c r="M141">
        <v>28</v>
      </c>
      <c r="N141">
        <v>11.67</v>
      </c>
      <c r="O141">
        <v>10824.87</v>
      </c>
      <c r="P141" t="s">
        <v>72</v>
      </c>
      <c r="Q141">
        <v>255646.71</v>
      </c>
      <c r="R141">
        <v>10824.87</v>
      </c>
      <c r="S141">
        <v>10899.63</v>
      </c>
      <c r="T141" s="1">
        <v>45583</v>
      </c>
      <c r="U141" t="s">
        <v>73</v>
      </c>
      <c r="V141">
        <v>0</v>
      </c>
      <c r="W141">
        <v>28</v>
      </c>
      <c r="X141">
        <v>28</v>
      </c>
      <c r="Y141">
        <v>0</v>
      </c>
      <c r="Z141">
        <v>0</v>
      </c>
      <c r="AA141">
        <v>0</v>
      </c>
      <c r="AB141" t="s">
        <v>111</v>
      </c>
      <c r="AC141" t="s">
        <v>197</v>
      </c>
      <c r="AD141">
        <v>2022</v>
      </c>
      <c r="AE141" t="s">
        <v>166</v>
      </c>
      <c r="AF141" t="b">
        <v>1</v>
      </c>
      <c r="AG141">
        <v>801000</v>
      </c>
      <c r="AH141">
        <v>556783.53</v>
      </c>
      <c r="AI141">
        <v>0.61209999999999998</v>
      </c>
      <c r="AJ141">
        <v>0.48070000000000002</v>
      </c>
      <c r="AK141">
        <v>24</v>
      </c>
      <c r="AL141" t="s">
        <v>106</v>
      </c>
      <c r="AM141">
        <v>1545000</v>
      </c>
      <c r="AN141">
        <v>8.4099999999999994E-2</v>
      </c>
      <c r="AO141">
        <v>730</v>
      </c>
      <c r="AP141">
        <v>682</v>
      </c>
      <c r="AQ141" t="s">
        <v>91</v>
      </c>
      <c r="AR141" t="s">
        <v>252</v>
      </c>
      <c r="AS141">
        <v>1</v>
      </c>
      <c r="AT141">
        <v>1.84E-2</v>
      </c>
      <c r="AU141">
        <v>0.52459999999999996</v>
      </c>
      <c r="AV141">
        <v>258624.92</v>
      </c>
      <c r="AW141">
        <v>2496.41</v>
      </c>
      <c r="AX141" t="b">
        <v>0</v>
      </c>
      <c r="AY141" t="b">
        <v>0</v>
      </c>
      <c r="AZ141" t="s">
        <v>80</v>
      </c>
      <c r="BA141">
        <v>0</v>
      </c>
      <c r="BB141">
        <v>0</v>
      </c>
      <c r="BC141">
        <v>0</v>
      </c>
      <c r="BD141">
        <v>0</v>
      </c>
      <c r="BE141" t="s">
        <v>134</v>
      </c>
      <c r="BF141" t="b">
        <v>1</v>
      </c>
    </row>
    <row r="142" spans="1:58" x14ac:dyDescent="0.3">
      <c r="A142" t="s">
        <v>455</v>
      </c>
      <c r="B142" t="s">
        <v>67</v>
      </c>
      <c r="C142" t="s">
        <v>456</v>
      </c>
      <c r="D142" t="s">
        <v>69</v>
      </c>
      <c r="E142" t="s">
        <v>70</v>
      </c>
      <c r="F142" t="s">
        <v>86</v>
      </c>
      <c r="G142" s="1">
        <v>44861</v>
      </c>
      <c r="H142" s="1">
        <v>45596</v>
      </c>
      <c r="I142" s="1">
        <v>46661</v>
      </c>
      <c r="J142">
        <v>1014000</v>
      </c>
      <c r="K142">
        <v>60</v>
      </c>
      <c r="L142">
        <v>36</v>
      </c>
      <c r="M142">
        <v>24</v>
      </c>
      <c r="N142">
        <v>7.76</v>
      </c>
      <c r="O142">
        <v>20443.990000000002</v>
      </c>
      <c r="P142" t="s">
        <v>72</v>
      </c>
      <c r="Q142">
        <v>621329.22</v>
      </c>
      <c r="R142">
        <v>20443.990000000002</v>
      </c>
      <c r="S142">
        <v>21460.81</v>
      </c>
      <c r="T142" s="1">
        <v>45568</v>
      </c>
      <c r="U142" t="s">
        <v>73</v>
      </c>
      <c r="V142">
        <v>0</v>
      </c>
      <c r="W142">
        <v>24</v>
      </c>
      <c r="X142">
        <v>24</v>
      </c>
      <c r="Y142">
        <v>0</v>
      </c>
      <c r="Z142">
        <v>0</v>
      </c>
      <c r="AA142">
        <v>0</v>
      </c>
      <c r="AB142" t="s">
        <v>164</v>
      </c>
      <c r="AC142" t="s">
        <v>279</v>
      </c>
      <c r="AD142">
        <v>2022</v>
      </c>
      <c r="AE142" t="s">
        <v>90</v>
      </c>
      <c r="AF142" t="b">
        <v>1</v>
      </c>
      <c r="AG142">
        <v>1601000</v>
      </c>
      <c r="AH142">
        <v>1197555.1200000001</v>
      </c>
      <c r="AI142">
        <v>0.63339999999999996</v>
      </c>
      <c r="AJ142">
        <v>0.54510000000000003</v>
      </c>
      <c r="AK142">
        <v>29</v>
      </c>
      <c r="AL142" t="s">
        <v>132</v>
      </c>
      <c r="AM142">
        <v>1269000</v>
      </c>
      <c r="AN142">
        <v>0.1933</v>
      </c>
      <c r="AO142">
        <v>761</v>
      </c>
      <c r="AP142">
        <v>764</v>
      </c>
      <c r="AQ142" t="s">
        <v>145</v>
      </c>
      <c r="AR142" t="s">
        <v>176</v>
      </c>
      <c r="AS142">
        <v>1</v>
      </c>
      <c r="AT142">
        <v>2.0500000000000001E-2</v>
      </c>
      <c r="AU142">
        <v>0.39489999999999997</v>
      </c>
      <c r="AV142">
        <v>636937.06000000006</v>
      </c>
      <c r="AW142">
        <v>5156.29</v>
      </c>
      <c r="AX142" t="b">
        <v>0</v>
      </c>
      <c r="AY142" t="b">
        <v>0</v>
      </c>
      <c r="AZ142" t="s">
        <v>80</v>
      </c>
      <c r="BA142">
        <v>0</v>
      </c>
      <c r="BB142">
        <v>0</v>
      </c>
      <c r="BC142">
        <v>0</v>
      </c>
      <c r="BD142">
        <v>0</v>
      </c>
      <c r="BE142" t="s">
        <v>108</v>
      </c>
      <c r="BF142" t="b">
        <v>1</v>
      </c>
    </row>
    <row r="143" spans="1:58" x14ac:dyDescent="0.3">
      <c r="A143" t="s">
        <v>457</v>
      </c>
      <c r="B143" t="s">
        <v>67</v>
      </c>
      <c r="C143" t="s">
        <v>458</v>
      </c>
      <c r="D143" t="s">
        <v>84</v>
      </c>
      <c r="E143" t="s">
        <v>85</v>
      </c>
      <c r="F143" t="s">
        <v>71</v>
      </c>
      <c r="G143" s="1">
        <v>45375</v>
      </c>
      <c r="H143" s="1">
        <v>45596</v>
      </c>
      <c r="I143" s="1">
        <v>47175</v>
      </c>
      <c r="J143">
        <v>1905200</v>
      </c>
      <c r="K143">
        <v>60</v>
      </c>
      <c r="L143">
        <v>53</v>
      </c>
      <c r="M143">
        <v>7</v>
      </c>
      <c r="N143">
        <v>8.08</v>
      </c>
      <c r="O143">
        <v>38703.57</v>
      </c>
      <c r="P143" t="s">
        <v>72</v>
      </c>
      <c r="Q143">
        <v>1658887.89</v>
      </c>
      <c r="R143">
        <v>38703.57</v>
      </c>
      <c r="S143">
        <v>39368.29</v>
      </c>
      <c r="T143" s="1">
        <v>45569</v>
      </c>
      <c r="U143" t="s">
        <v>73</v>
      </c>
      <c r="V143">
        <v>0</v>
      </c>
      <c r="W143">
        <v>7</v>
      </c>
      <c r="X143">
        <v>7</v>
      </c>
      <c r="Y143">
        <v>0</v>
      </c>
      <c r="Z143">
        <v>0</v>
      </c>
      <c r="AA143">
        <v>0</v>
      </c>
      <c r="AB143" t="s">
        <v>97</v>
      </c>
      <c r="AC143" t="s">
        <v>98</v>
      </c>
      <c r="AD143">
        <v>2024</v>
      </c>
      <c r="AE143" t="s">
        <v>119</v>
      </c>
      <c r="AF143" t="b">
        <v>1</v>
      </c>
      <c r="AG143">
        <v>2923000</v>
      </c>
      <c r="AH143">
        <v>2605319.69</v>
      </c>
      <c r="AI143">
        <v>0.65180000000000005</v>
      </c>
      <c r="AJ143">
        <v>0.61960000000000004</v>
      </c>
      <c r="AK143">
        <v>57</v>
      </c>
      <c r="AL143" t="s">
        <v>120</v>
      </c>
      <c r="AM143">
        <v>1534000</v>
      </c>
      <c r="AN143">
        <v>0.30280000000000001</v>
      </c>
      <c r="AO143">
        <v>752</v>
      </c>
      <c r="AP143">
        <v>766</v>
      </c>
      <c r="AQ143" t="s">
        <v>127</v>
      </c>
      <c r="AR143" t="s">
        <v>153</v>
      </c>
      <c r="AS143">
        <v>1</v>
      </c>
      <c r="AT143">
        <v>1.6899999999999998E-2</v>
      </c>
      <c r="AU143">
        <v>0.4299</v>
      </c>
      <c r="AV143">
        <v>1694559.43</v>
      </c>
      <c r="AW143">
        <v>12311.5</v>
      </c>
      <c r="AX143" t="b">
        <v>0</v>
      </c>
      <c r="AY143" t="b">
        <v>0</v>
      </c>
      <c r="AZ143" t="s">
        <v>80</v>
      </c>
      <c r="BA143">
        <v>0</v>
      </c>
      <c r="BB143">
        <v>0</v>
      </c>
      <c r="BC143">
        <v>0</v>
      </c>
      <c r="BD143">
        <v>0</v>
      </c>
      <c r="BE143" t="s">
        <v>81</v>
      </c>
      <c r="BF143" t="b">
        <v>1</v>
      </c>
    </row>
    <row r="144" spans="1:58" x14ac:dyDescent="0.3">
      <c r="A144" t="s">
        <v>459</v>
      </c>
      <c r="B144" t="s">
        <v>67</v>
      </c>
      <c r="C144" t="s">
        <v>460</v>
      </c>
      <c r="D144" t="s">
        <v>95</v>
      </c>
      <c r="E144" t="s">
        <v>96</v>
      </c>
      <c r="F144" t="s">
        <v>115</v>
      </c>
      <c r="G144" s="1">
        <v>44587</v>
      </c>
      <c r="H144" s="1">
        <v>45596</v>
      </c>
      <c r="I144" s="1">
        <v>46387</v>
      </c>
      <c r="J144">
        <v>661900</v>
      </c>
      <c r="K144">
        <v>60</v>
      </c>
      <c r="L144">
        <v>27</v>
      </c>
      <c r="M144">
        <v>33</v>
      </c>
      <c r="N144">
        <v>11.81</v>
      </c>
      <c r="O144">
        <v>14660.13</v>
      </c>
      <c r="P144" t="s">
        <v>72</v>
      </c>
      <c r="Q144">
        <v>312308.08</v>
      </c>
      <c r="R144">
        <v>14660.13</v>
      </c>
      <c r="S144">
        <v>14715.85</v>
      </c>
      <c r="T144" s="1">
        <v>45583</v>
      </c>
      <c r="U144" t="s">
        <v>73</v>
      </c>
      <c r="V144">
        <v>0</v>
      </c>
      <c r="W144">
        <v>33</v>
      </c>
      <c r="X144">
        <v>33</v>
      </c>
      <c r="Y144">
        <v>0</v>
      </c>
      <c r="Z144">
        <v>0</v>
      </c>
      <c r="AA144">
        <v>0</v>
      </c>
      <c r="AB144" t="s">
        <v>111</v>
      </c>
      <c r="AC144" t="s">
        <v>112</v>
      </c>
      <c r="AD144">
        <v>2022</v>
      </c>
      <c r="AE144" t="s">
        <v>99</v>
      </c>
      <c r="AF144" t="b">
        <v>1</v>
      </c>
      <c r="AG144">
        <v>1004000</v>
      </c>
      <c r="AH144">
        <v>612046.48</v>
      </c>
      <c r="AI144">
        <v>0.65920000000000001</v>
      </c>
      <c r="AJ144">
        <v>0.51500000000000001</v>
      </c>
      <c r="AK144">
        <v>33</v>
      </c>
      <c r="AL144" t="s">
        <v>120</v>
      </c>
      <c r="AM144">
        <v>511000</v>
      </c>
      <c r="AN144">
        <v>0.34429999999999999</v>
      </c>
      <c r="AO144">
        <v>709</v>
      </c>
      <c r="AP144">
        <v>684</v>
      </c>
      <c r="AQ144" t="s">
        <v>91</v>
      </c>
      <c r="AR144" t="s">
        <v>92</v>
      </c>
      <c r="AS144">
        <v>1</v>
      </c>
      <c r="AT144">
        <v>1.8100000000000002E-2</v>
      </c>
      <c r="AU144">
        <v>0.59130000000000005</v>
      </c>
      <c r="AV144">
        <v>317072.62</v>
      </c>
      <c r="AW144">
        <v>3393.48</v>
      </c>
      <c r="AX144" t="b">
        <v>0</v>
      </c>
      <c r="AY144" t="b">
        <v>0</v>
      </c>
      <c r="AZ144" t="s">
        <v>80</v>
      </c>
      <c r="BA144">
        <v>0</v>
      </c>
      <c r="BB144">
        <v>0</v>
      </c>
      <c r="BC144">
        <v>0</v>
      </c>
      <c r="BD144">
        <v>0</v>
      </c>
      <c r="BE144" t="s">
        <v>108</v>
      </c>
      <c r="BF144" t="b">
        <v>1</v>
      </c>
    </row>
    <row r="145" spans="1:58" x14ac:dyDescent="0.3">
      <c r="A145" t="s">
        <v>461</v>
      </c>
      <c r="B145" t="s">
        <v>67</v>
      </c>
      <c r="C145" t="s">
        <v>462</v>
      </c>
      <c r="D145" t="s">
        <v>95</v>
      </c>
      <c r="E145" t="s">
        <v>96</v>
      </c>
      <c r="F145" t="s">
        <v>71</v>
      </c>
      <c r="G145" s="1">
        <v>44726</v>
      </c>
      <c r="H145" s="1">
        <v>45596</v>
      </c>
      <c r="I145" s="1">
        <v>46886</v>
      </c>
      <c r="J145">
        <v>1311700</v>
      </c>
      <c r="K145">
        <v>72</v>
      </c>
      <c r="L145">
        <v>44</v>
      </c>
      <c r="M145">
        <v>28</v>
      </c>
      <c r="N145">
        <v>11.58</v>
      </c>
      <c r="O145">
        <v>25358.400000000001</v>
      </c>
      <c r="P145" t="s">
        <v>72</v>
      </c>
      <c r="Q145">
        <v>801217.09</v>
      </c>
      <c r="R145">
        <v>25358.400000000001</v>
      </c>
      <c r="S145">
        <v>25438.43</v>
      </c>
      <c r="T145" s="1">
        <v>45585</v>
      </c>
      <c r="U145" t="s">
        <v>73</v>
      </c>
      <c r="V145">
        <v>0</v>
      </c>
      <c r="W145">
        <v>28</v>
      </c>
      <c r="X145">
        <v>28</v>
      </c>
      <c r="Y145">
        <v>0</v>
      </c>
      <c r="Z145">
        <v>0</v>
      </c>
      <c r="AA145">
        <v>0</v>
      </c>
      <c r="AB145" t="s">
        <v>97</v>
      </c>
      <c r="AC145" t="s">
        <v>152</v>
      </c>
      <c r="AD145">
        <v>2022</v>
      </c>
      <c r="AE145" t="s">
        <v>76</v>
      </c>
      <c r="AF145" t="b">
        <v>1</v>
      </c>
      <c r="AG145">
        <v>1573000</v>
      </c>
      <c r="AH145">
        <v>981568.72</v>
      </c>
      <c r="AI145">
        <v>0.83389999999999997</v>
      </c>
      <c r="AJ145">
        <v>0.7671</v>
      </c>
      <c r="AK145">
        <v>40</v>
      </c>
      <c r="AL145" t="s">
        <v>77</v>
      </c>
      <c r="AM145">
        <v>583000</v>
      </c>
      <c r="AN145">
        <v>0.52200000000000002</v>
      </c>
      <c r="AO145">
        <v>701</v>
      </c>
      <c r="AP145">
        <v>730</v>
      </c>
      <c r="AQ145" t="s">
        <v>91</v>
      </c>
      <c r="AR145" t="s">
        <v>92</v>
      </c>
      <c r="AS145">
        <v>1</v>
      </c>
      <c r="AT145">
        <v>2.58E-2</v>
      </c>
      <c r="AU145">
        <v>0.50260000000000005</v>
      </c>
      <c r="AV145">
        <v>829647.83</v>
      </c>
      <c r="AW145">
        <v>10758.11</v>
      </c>
      <c r="AX145" t="b">
        <v>0</v>
      </c>
      <c r="AY145" t="b">
        <v>1</v>
      </c>
      <c r="AZ145" t="s">
        <v>290</v>
      </c>
      <c r="BA145">
        <v>0</v>
      </c>
      <c r="BB145">
        <v>0</v>
      </c>
      <c r="BC145">
        <v>0</v>
      </c>
      <c r="BD145">
        <v>0</v>
      </c>
      <c r="BE145" t="s">
        <v>108</v>
      </c>
      <c r="BF145" t="b">
        <v>1</v>
      </c>
    </row>
    <row r="146" spans="1:58" x14ac:dyDescent="0.3">
      <c r="A146" t="s">
        <v>463</v>
      </c>
      <c r="B146" t="s">
        <v>67</v>
      </c>
      <c r="C146" t="s">
        <v>464</v>
      </c>
      <c r="D146" t="s">
        <v>84</v>
      </c>
      <c r="E146" t="s">
        <v>85</v>
      </c>
      <c r="F146" t="s">
        <v>71</v>
      </c>
      <c r="G146" s="1">
        <v>45134</v>
      </c>
      <c r="H146" s="1">
        <v>45596</v>
      </c>
      <c r="I146" s="1">
        <v>46934</v>
      </c>
      <c r="J146">
        <v>688400</v>
      </c>
      <c r="K146">
        <v>60</v>
      </c>
      <c r="L146">
        <v>45</v>
      </c>
      <c r="M146">
        <v>15</v>
      </c>
      <c r="N146">
        <v>9.99</v>
      </c>
      <c r="O146">
        <v>14623.08</v>
      </c>
      <c r="P146" t="s">
        <v>139</v>
      </c>
      <c r="Q146">
        <v>488083.65</v>
      </c>
      <c r="R146">
        <v>14623.08</v>
      </c>
      <c r="S146">
        <v>14684.84</v>
      </c>
      <c r="T146" s="1">
        <v>45583</v>
      </c>
      <c r="U146" t="s">
        <v>73</v>
      </c>
      <c r="V146">
        <v>0</v>
      </c>
      <c r="W146">
        <v>15</v>
      </c>
      <c r="X146">
        <v>15</v>
      </c>
      <c r="Y146">
        <v>0</v>
      </c>
      <c r="Z146">
        <v>0</v>
      </c>
      <c r="AA146">
        <v>0</v>
      </c>
      <c r="AB146" t="s">
        <v>97</v>
      </c>
      <c r="AC146" t="s">
        <v>98</v>
      </c>
      <c r="AD146">
        <v>2018</v>
      </c>
      <c r="AE146" t="s">
        <v>119</v>
      </c>
      <c r="AF146" t="b">
        <v>0</v>
      </c>
      <c r="AG146">
        <v>1051000</v>
      </c>
      <c r="AH146">
        <v>888100.8</v>
      </c>
      <c r="AI146">
        <v>0.65500000000000003</v>
      </c>
      <c r="AJ146">
        <v>0.56630000000000003</v>
      </c>
      <c r="AK146">
        <v>40</v>
      </c>
      <c r="AL146" t="s">
        <v>132</v>
      </c>
      <c r="AM146">
        <v>2685000</v>
      </c>
      <c r="AN146">
        <v>6.54E-2</v>
      </c>
      <c r="AO146">
        <v>657</v>
      </c>
      <c r="AP146">
        <v>678</v>
      </c>
      <c r="AQ146" t="s">
        <v>91</v>
      </c>
      <c r="AR146" t="s">
        <v>92</v>
      </c>
      <c r="AS146">
        <v>1</v>
      </c>
      <c r="AT146">
        <v>1.9E-2</v>
      </c>
      <c r="AU146">
        <v>0.52190000000000003</v>
      </c>
      <c r="AV146">
        <v>498491.18</v>
      </c>
      <c r="AW146">
        <v>4943.09</v>
      </c>
      <c r="AX146" t="b">
        <v>0</v>
      </c>
      <c r="AY146" t="b">
        <v>0</v>
      </c>
      <c r="AZ146" t="s">
        <v>80</v>
      </c>
      <c r="BA146">
        <v>0</v>
      </c>
      <c r="BB146">
        <v>0</v>
      </c>
      <c r="BC146">
        <v>0</v>
      </c>
      <c r="BD146">
        <v>0</v>
      </c>
      <c r="BE146" t="s">
        <v>134</v>
      </c>
      <c r="BF146" t="b">
        <v>1</v>
      </c>
    </row>
    <row r="147" spans="1:58" x14ac:dyDescent="0.3">
      <c r="A147" t="s">
        <v>465</v>
      </c>
      <c r="B147" t="s">
        <v>67</v>
      </c>
      <c r="C147" t="s">
        <v>466</v>
      </c>
      <c r="D147" t="s">
        <v>95</v>
      </c>
      <c r="E147" t="s">
        <v>96</v>
      </c>
      <c r="F147" t="s">
        <v>124</v>
      </c>
      <c r="G147" s="1">
        <v>45386</v>
      </c>
      <c r="H147" s="1">
        <v>45596</v>
      </c>
      <c r="I147" s="1">
        <v>46826</v>
      </c>
      <c r="J147">
        <v>2431700</v>
      </c>
      <c r="K147">
        <v>48</v>
      </c>
      <c r="L147">
        <v>42</v>
      </c>
      <c r="M147">
        <v>6</v>
      </c>
      <c r="N147">
        <v>10.51</v>
      </c>
      <c r="O147">
        <v>62271.48</v>
      </c>
      <c r="P147" t="s">
        <v>72</v>
      </c>
      <c r="Q147">
        <v>2205081.4300000002</v>
      </c>
      <c r="R147">
        <v>62271.48</v>
      </c>
      <c r="S147">
        <v>59822.79</v>
      </c>
      <c r="T147" s="1">
        <v>45585</v>
      </c>
      <c r="U147" t="s">
        <v>73</v>
      </c>
      <c r="V147">
        <v>0</v>
      </c>
      <c r="W147">
        <v>6</v>
      </c>
      <c r="X147">
        <v>6</v>
      </c>
      <c r="Y147">
        <v>0</v>
      </c>
      <c r="Z147">
        <v>0</v>
      </c>
      <c r="AA147">
        <v>0</v>
      </c>
      <c r="AB147" t="s">
        <v>97</v>
      </c>
      <c r="AC147" t="s">
        <v>98</v>
      </c>
      <c r="AD147">
        <v>2024</v>
      </c>
      <c r="AE147" t="s">
        <v>119</v>
      </c>
      <c r="AF147" t="b">
        <v>1</v>
      </c>
      <c r="AG147">
        <v>2659000</v>
      </c>
      <c r="AH147">
        <v>2233725.89</v>
      </c>
      <c r="AI147">
        <v>0.91449999999999998</v>
      </c>
      <c r="AJ147">
        <v>0.89359999999999995</v>
      </c>
      <c r="AK147">
        <v>31</v>
      </c>
      <c r="AL147" t="s">
        <v>77</v>
      </c>
      <c r="AM147">
        <v>1792000</v>
      </c>
      <c r="AN147">
        <v>0.41699999999999998</v>
      </c>
      <c r="AO147">
        <v>792</v>
      </c>
      <c r="AP147">
        <v>810</v>
      </c>
      <c r="AQ147" t="s">
        <v>145</v>
      </c>
      <c r="AR147" t="s">
        <v>176</v>
      </c>
      <c r="AS147">
        <v>1</v>
      </c>
      <c r="AT147">
        <v>2.29E-2</v>
      </c>
      <c r="AU147">
        <v>0.59650000000000003</v>
      </c>
      <c r="AV147">
        <v>2275296.4500000002</v>
      </c>
      <c r="AW147">
        <v>31080.21</v>
      </c>
      <c r="AX147" t="b">
        <v>0</v>
      </c>
      <c r="AY147" t="b">
        <v>0</v>
      </c>
      <c r="AZ147" t="s">
        <v>80</v>
      </c>
      <c r="BA147">
        <v>0</v>
      </c>
      <c r="BB147">
        <v>0</v>
      </c>
      <c r="BC147">
        <v>0</v>
      </c>
      <c r="BD147">
        <v>0</v>
      </c>
      <c r="BE147" t="s">
        <v>81</v>
      </c>
      <c r="BF147" t="b">
        <v>1</v>
      </c>
    </row>
    <row r="148" spans="1:58" x14ac:dyDescent="0.3">
      <c r="A148" t="s">
        <v>467</v>
      </c>
      <c r="B148" t="s">
        <v>67</v>
      </c>
      <c r="C148" t="s">
        <v>468</v>
      </c>
      <c r="D148" t="s">
        <v>69</v>
      </c>
      <c r="E148" t="s">
        <v>70</v>
      </c>
      <c r="F148" t="s">
        <v>71</v>
      </c>
      <c r="G148" s="1">
        <v>45450</v>
      </c>
      <c r="H148" s="1">
        <v>45596</v>
      </c>
      <c r="I148" s="1">
        <v>46530</v>
      </c>
      <c r="J148">
        <v>649900</v>
      </c>
      <c r="K148">
        <v>36</v>
      </c>
      <c r="L148">
        <v>32</v>
      </c>
      <c r="M148">
        <v>4</v>
      </c>
      <c r="N148">
        <v>10.01</v>
      </c>
      <c r="O148">
        <v>20973.5</v>
      </c>
      <c r="P148" t="s">
        <v>72</v>
      </c>
      <c r="Q148">
        <v>579549.74</v>
      </c>
      <c r="R148">
        <v>20973.5</v>
      </c>
      <c r="S148">
        <v>20952.41</v>
      </c>
      <c r="T148" s="1">
        <v>45576</v>
      </c>
      <c r="U148" t="s">
        <v>73</v>
      </c>
      <c r="V148">
        <v>0</v>
      </c>
      <c r="W148">
        <v>4</v>
      </c>
      <c r="X148">
        <v>4</v>
      </c>
      <c r="Y148">
        <v>0</v>
      </c>
      <c r="Z148">
        <v>0</v>
      </c>
      <c r="AA148">
        <v>0</v>
      </c>
      <c r="AB148" t="s">
        <v>104</v>
      </c>
      <c r="AC148" t="s">
        <v>156</v>
      </c>
      <c r="AD148">
        <v>2024</v>
      </c>
      <c r="AE148" t="s">
        <v>90</v>
      </c>
      <c r="AF148" t="b">
        <v>1</v>
      </c>
      <c r="AG148">
        <v>954000</v>
      </c>
      <c r="AH148">
        <v>974829.58</v>
      </c>
      <c r="AI148">
        <v>0.68130000000000002</v>
      </c>
      <c r="AJ148">
        <v>0.6381</v>
      </c>
      <c r="AK148">
        <v>30</v>
      </c>
      <c r="AL148" t="s">
        <v>120</v>
      </c>
      <c r="AM148">
        <v>3646000</v>
      </c>
      <c r="AN148">
        <v>6.9000000000000006E-2</v>
      </c>
      <c r="AO148">
        <v>745</v>
      </c>
      <c r="AP148">
        <v>718</v>
      </c>
      <c r="AQ148" t="s">
        <v>127</v>
      </c>
      <c r="AR148" t="s">
        <v>215</v>
      </c>
      <c r="AS148">
        <v>1</v>
      </c>
      <c r="AT148">
        <v>2.3099999999999999E-2</v>
      </c>
      <c r="AU148">
        <v>0.36980000000000002</v>
      </c>
      <c r="AV148">
        <v>606414.86</v>
      </c>
      <c r="AW148">
        <v>5180.2299999999996</v>
      </c>
      <c r="AX148" t="b">
        <v>0</v>
      </c>
      <c r="AY148" t="b">
        <v>0</v>
      </c>
      <c r="AZ148" t="s">
        <v>80</v>
      </c>
      <c r="BA148">
        <v>0</v>
      </c>
      <c r="BB148">
        <v>0</v>
      </c>
      <c r="BC148">
        <v>0</v>
      </c>
      <c r="BD148">
        <v>0</v>
      </c>
      <c r="BE148" t="s">
        <v>108</v>
      </c>
      <c r="BF148" t="b">
        <v>0</v>
      </c>
    </row>
    <row r="149" spans="1:58" x14ac:dyDescent="0.3">
      <c r="A149" t="s">
        <v>469</v>
      </c>
      <c r="B149" t="s">
        <v>67</v>
      </c>
      <c r="C149" t="s">
        <v>470</v>
      </c>
      <c r="D149" t="s">
        <v>95</v>
      </c>
      <c r="E149" t="s">
        <v>96</v>
      </c>
      <c r="F149" t="s">
        <v>124</v>
      </c>
      <c r="G149" s="1">
        <v>44702</v>
      </c>
      <c r="H149" s="1">
        <v>45596</v>
      </c>
      <c r="I149" s="1">
        <v>46502</v>
      </c>
      <c r="J149">
        <v>1106300</v>
      </c>
      <c r="K149">
        <v>60</v>
      </c>
      <c r="L149">
        <v>31</v>
      </c>
      <c r="M149">
        <v>29</v>
      </c>
      <c r="N149">
        <v>10.26</v>
      </c>
      <c r="O149">
        <v>23647.39</v>
      </c>
      <c r="P149" t="s">
        <v>72</v>
      </c>
      <c r="Q149">
        <v>594949.65</v>
      </c>
      <c r="R149">
        <v>23647.39</v>
      </c>
      <c r="S149">
        <v>8769.9500000000007</v>
      </c>
      <c r="T149" s="1">
        <v>45568</v>
      </c>
      <c r="U149" t="s">
        <v>380</v>
      </c>
      <c r="V149">
        <v>140</v>
      </c>
      <c r="W149">
        <v>29</v>
      </c>
      <c r="X149">
        <v>25</v>
      </c>
      <c r="Y149">
        <v>3</v>
      </c>
      <c r="Z149">
        <v>1</v>
      </c>
      <c r="AA149">
        <v>1</v>
      </c>
      <c r="AB149" t="s">
        <v>174</v>
      </c>
      <c r="AC149" t="s">
        <v>423</v>
      </c>
      <c r="AD149">
        <v>2022</v>
      </c>
      <c r="AE149" t="s">
        <v>90</v>
      </c>
      <c r="AF149" t="b">
        <v>1</v>
      </c>
      <c r="AG149">
        <v>1509000</v>
      </c>
      <c r="AH149">
        <v>903277.56</v>
      </c>
      <c r="AI149">
        <v>0.73309999999999997</v>
      </c>
      <c r="AJ149">
        <v>0.60470000000000002</v>
      </c>
      <c r="AK149">
        <v>62</v>
      </c>
      <c r="AL149" t="s">
        <v>132</v>
      </c>
      <c r="AM149">
        <v>1574000</v>
      </c>
      <c r="AN149">
        <v>0.18029999999999999</v>
      </c>
      <c r="AO149">
        <v>660</v>
      </c>
      <c r="AP149">
        <v>641</v>
      </c>
      <c r="AQ149" t="s">
        <v>78</v>
      </c>
      <c r="AR149" t="s">
        <v>133</v>
      </c>
      <c r="AS149">
        <v>3</v>
      </c>
      <c r="AT149">
        <v>0.67989999999999995</v>
      </c>
      <c r="AU149">
        <v>0.43830000000000002</v>
      </c>
      <c r="AV149">
        <v>622288.56000000006</v>
      </c>
      <c r="AW149">
        <v>185442.1</v>
      </c>
      <c r="AX149" t="b">
        <v>1</v>
      </c>
      <c r="AY149" t="b">
        <v>0</v>
      </c>
      <c r="AZ149" t="s">
        <v>80</v>
      </c>
      <c r="BA149">
        <v>0</v>
      </c>
      <c r="BB149">
        <v>0</v>
      </c>
      <c r="BC149">
        <v>0</v>
      </c>
      <c r="BD149">
        <v>0</v>
      </c>
      <c r="BE149" t="s">
        <v>108</v>
      </c>
      <c r="BF149" t="b">
        <v>0</v>
      </c>
    </row>
    <row r="150" spans="1:58" x14ac:dyDescent="0.3">
      <c r="A150" t="s">
        <v>471</v>
      </c>
      <c r="B150" t="s">
        <v>67</v>
      </c>
      <c r="C150" t="s">
        <v>472</v>
      </c>
      <c r="D150" t="s">
        <v>84</v>
      </c>
      <c r="E150" t="s">
        <v>85</v>
      </c>
      <c r="F150" t="s">
        <v>71</v>
      </c>
      <c r="G150" s="1">
        <v>45222</v>
      </c>
      <c r="H150" s="1">
        <v>45596</v>
      </c>
      <c r="I150" s="1">
        <v>47382</v>
      </c>
      <c r="J150">
        <v>632300</v>
      </c>
      <c r="K150">
        <v>72</v>
      </c>
      <c r="L150">
        <v>60</v>
      </c>
      <c r="M150">
        <v>12</v>
      </c>
      <c r="N150">
        <v>7.67</v>
      </c>
      <c r="O150">
        <v>10984.66</v>
      </c>
      <c r="P150" t="s">
        <v>72</v>
      </c>
      <c r="Q150">
        <v>510082.79</v>
      </c>
      <c r="R150">
        <v>10984.66</v>
      </c>
      <c r="S150">
        <v>11383.04</v>
      </c>
      <c r="T150" s="1">
        <v>45586</v>
      </c>
      <c r="U150" t="s">
        <v>73</v>
      </c>
      <c r="V150">
        <v>0</v>
      </c>
      <c r="W150">
        <v>12</v>
      </c>
      <c r="X150">
        <v>12</v>
      </c>
      <c r="Y150">
        <v>0</v>
      </c>
      <c r="Z150">
        <v>0</v>
      </c>
      <c r="AA150">
        <v>0</v>
      </c>
      <c r="AB150" t="s">
        <v>74</v>
      </c>
      <c r="AC150" t="s">
        <v>420</v>
      </c>
      <c r="AD150">
        <v>2023</v>
      </c>
      <c r="AE150" t="s">
        <v>90</v>
      </c>
      <c r="AF150" t="b">
        <v>1</v>
      </c>
      <c r="AG150">
        <v>849000</v>
      </c>
      <c r="AH150">
        <v>780351.33</v>
      </c>
      <c r="AI150">
        <v>0.74470000000000003</v>
      </c>
      <c r="AJ150">
        <v>0.70189999999999997</v>
      </c>
      <c r="AK150">
        <v>35</v>
      </c>
      <c r="AL150" t="s">
        <v>120</v>
      </c>
      <c r="AM150">
        <v>724000</v>
      </c>
      <c r="AN150">
        <v>0.18210000000000001</v>
      </c>
      <c r="AO150">
        <v>732</v>
      </c>
      <c r="AP150">
        <v>702</v>
      </c>
      <c r="AQ150" t="s">
        <v>145</v>
      </c>
      <c r="AR150" t="s">
        <v>146</v>
      </c>
      <c r="AS150">
        <v>1</v>
      </c>
      <c r="AT150">
        <v>1.8499999999999999E-2</v>
      </c>
      <c r="AU150">
        <v>0.4642</v>
      </c>
      <c r="AV150">
        <v>529676.61</v>
      </c>
      <c r="AW150">
        <v>4548.7</v>
      </c>
      <c r="AX150" t="b">
        <v>0</v>
      </c>
      <c r="AY150" t="b">
        <v>0</v>
      </c>
      <c r="AZ150" t="s">
        <v>80</v>
      </c>
      <c r="BA150">
        <v>0</v>
      </c>
      <c r="BB150">
        <v>0</v>
      </c>
      <c r="BC150">
        <v>0</v>
      </c>
      <c r="BD150">
        <v>0</v>
      </c>
      <c r="BE150" t="s">
        <v>108</v>
      </c>
      <c r="BF150" t="b">
        <v>1</v>
      </c>
    </row>
    <row r="151" spans="1:58" x14ac:dyDescent="0.3">
      <c r="A151" t="s">
        <v>473</v>
      </c>
      <c r="B151" t="s">
        <v>67</v>
      </c>
      <c r="C151" t="s">
        <v>474</v>
      </c>
      <c r="D151" t="s">
        <v>69</v>
      </c>
      <c r="E151" t="s">
        <v>70</v>
      </c>
      <c r="F151" t="s">
        <v>71</v>
      </c>
      <c r="G151" s="1">
        <v>44563</v>
      </c>
      <c r="H151" s="1">
        <v>45596</v>
      </c>
      <c r="I151" s="1">
        <v>46003</v>
      </c>
      <c r="J151">
        <v>1047900</v>
      </c>
      <c r="K151">
        <v>48</v>
      </c>
      <c r="L151">
        <v>15</v>
      </c>
      <c r="M151">
        <v>33</v>
      </c>
      <c r="N151">
        <v>14.22</v>
      </c>
      <c r="O151">
        <v>28751.19</v>
      </c>
      <c r="P151" t="s">
        <v>72</v>
      </c>
      <c r="Q151">
        <v>294895.40999999997</v>
      </c>
      <c r="R151">
        <v>28751.19</v>
      </c>
      <c r="S151">
        <v>27739.88</v>
      </c>
      <c r="T151" s="1">
        <v>45574</v>
      </c>
      <c r="U151" t="s">
        <v>73</v>
      </c>
      <c r="V151">
        <v>0</v>
      </c>
      <c r="W151">
        <v>33</v>
      </c>
      <c r="X151">
        <v>33</v>
      </c>
      <c r="Y151">
        <v>0</v>
      </c>
      <c r="Z151">
        <v>0</v>
      </c>
      <c r="AA151">
        <v>0</v>
      </c>
      <c r="AB151" t="s">
        <v>117</v>
      </c>
      <c r="AC151" t="s">
        <v>160</v>
      </c>
      <c r="AD151">
        <v>2022</v>
      </c>
      <c r="AE151" t="s">
        <v>166</v>
      </c>
      <c r="AF151" t="b">
        <v>1</v>
      </c>
      <c r="AG151">
        <v>1580000</v>
      </c>
      <c r="AH151">
        <v>865896.73</v>
      </c>
      <c r="AI151">
        <v>0.66320000000000001</v>
      </c>
      <c r="AJ151">
        <v>0.309</v>
      </c>
      <c r="AK151">
        <v>40</v>
      </c>
      <c r="AL151" t="s">
        <v>132</v>
      </c>
      <c r="AM151">
        <v>2624000</v>
      </c>
      <c r="AN151">
        <v>0.13150000000000001</v>
      </c>
      <c r="AO151">
        <v>789</v>
      </c>
      <c r="AP151">
        <v>739</v>
      </c>
      <c r="AQ151" t="s">
        <v>78</v>
      </c>
      <c r="AR151" t="s">
        <v>133</v>
      </c>
      <c r="AS151">
        <v>1</v>
      </c>
      <c r="AT151">
        <v>2.46E-2</v>
      </c>
      <c r="AU151">
        <v>0.43340000000000001</v>
      </c>
      <c r="AV151">
        <v>304164.5</v>
      </c>
      <c r="AW151">
        <v>3242.89</v>
      </c>
      <c r="AX151" t="b">
        <v>0</v>
      </c>
      <c r="AY151" t="b">
        <v>0</v>
      </c>
      <c r="AZ151" t="s">
        <v>80</v>
      </c>
      <c r="BA151">
        <v>0</v>
      </c>
      <c r="BB151">
        <v>0</v>
      </c>
      <c r="BC151">
        <v>0</v>
      </c>
      <c r="BD151">
        <v>0</v>
      </c>
      <c r="BE151" t="s">
        <v>81</v>
      </c>
      <c r="BF151" t="b">
        <v>1</v>
      </c>
    </row>
    <row r="152" spans="1:58" x14ac:dyDescent="0.3">
      <c r="A152" t="s">
        <v>475</v>
      </c>
      <c r="B152" t="s">
        <v>67</v>
      </c>
      <c r="C152" t="s">
        <v>476</v>
      </c>
      <c r="D152" t="s">
        <v>84</v>
      </c>
      <c r="E152" t="s">
        <v>85</v>
      </c>
      <c r="F152" t="s">
        <v>115</v>
      </c>
      <c r="G152" s="1">
        <v>44263</v>
      </c>
      <c r="H152" s="1">
        <v>45596</v>
      </c>
      <c r="I152" s="1">
        <v>45703</v>
      </c>
      <c r="J152">
        <v>292400</v>
      </c>
      <c r="K152">
        <v>48</v>
      </c>
      <c r="L152">
        <v>5</v>
      </c>
      <c r="M152">
        <v>43</v>
      </c>
      <c r="N152">
        <v>8.6300000000000008</v>
      </c>
      <c r="O152">
        <v>7225.12</v>
      </c>
      <c r="P152" t="s">
        <v>72</v>
      </c>
      <c r="Q152">
        <v>28711.759999999998</v>
      </c>
      <c r="R152">
        <v>7225.12</v>
      </c>
      <c r="S152">
        <v>7015.48</v>
      </c>
      <c r="T152" s="1">
        <v>45583</v>
      </c>
      <c r="U152" t="s">
        <v>73</v>
      </c>
      <c r="V152">
        <v>0</v>
      </c>
      <c r="W152">
        <v>43</v>
      </c>
      <c r="X152">
        <v>43</v>
      </c>
      <c r="Y152">
        <v>0</v>
      </c>
      <c r="Z152">
        <v>0</v>
      </c>
      <c r="AA152">
        <v>0</v>
      </c>
      <c r="AB152" t="s">
        <v>104</v>
      </c>
      <c r="AC152" t="s">
        <v>156</v>
      </c>
      <c r="AD152">
        <v>2021</v>
      </c>
      <c r="AE152" t="s">
        <v>99</v>
      </c>
      <c r="AF152" t="b">
        <v>1</v>
      </c>
      <c r="AG152">
        <v>392000</v>
      </c>
      <c r="AH152">
        <v>193979.95</v>
      </c>
      <c r="AI152">
        <v>0.74590000000000001</v>
      </c>
      <c r="AJ152">
        <v>0.15129999999999999</v>
      </c>
      <c r="AK152">
        <v>63</v>
      </c>
      <c r="AL152" t="s">
        <v>77</v>
      </c>
      <c r="AM152">
        <v>4842000</v>
      </c>
      <c r="AN152">
        <v>1.7899999999999999E-2</v>
      </c>
      <c r="AO152">
        <v>841</v>
      </c>
      <c r="AP152">
        <v>865</v>
      </c>
      <c r="AQ152" t="s">
        <v>91</v>
      </c>
      <c r="AR152" t="s">
        <v>92</v>
      </c>
      <c r="AS152">
        <v>1</v>
      </c>
      <c r="AT152">
        <v>1.7500000000000002E-2</v>
      </c>
      <c r="AU152">
        <v>0.39040000000000002</v>
      </c>
      <c r="AV152">
        <v>29708.95</v>
      </c>
      <c r="AW152">
        <v>202.97</v>
      </c>
      <c r="AX152" t="b">
        <v>0</v>
      </c>
      <c r="AY152" t="b">
        <v>0</v>
      </c>
      <c r="AZ152" t="s">
        <v>80</v>
      </c>
      <c r="BA152">
        <v>0</v>
      </c>
      <c r="BB152">
        <v>0</v>
      </c>
      <c r="BC152">
        <v>0</v>
      </c>
      <c r="BD152">
        <v>0</v>
      </c>
      <c r="BE152" t="s">
        <v>108</v>
      </c>
      <c r="BF152" t="b">
        <v>1</v>
      </c>
    </row>
    <row r="153" spans="1:58" x14ac:dyDescent="0.3">
      <c r="A153" t="s">
        <v>477</v>
      </c>
      <c r="B153" t="s">
        <v>67</v>
      </c>
      <c r="C153" t="s">
        <v>478</v>
      </c>
      <c r="D153" t="s">
        <v>69</v>
      </c>
      <c r="E153" t="s">
        <v>70</v>
      </c>
      <c r="F153" t="s">
        <v>71</v>
      </c>
      <c r="G153" s="1">
        <v>44420</v>
      </c>
      <c r="H153" s="1">
        <v>45596</v>
      </c>
      <c r="I153" s="1">
        <v>46220</v>
      </c>
      <c r="J153">
        <v>1632400</v>
      </c>
      <c r="K153">
        <v>60</v>
      </c>
      <c r="L153">
        <v>22</v>
      </c>
      <c r="M153">
        <v>38</v>
      </c>
      <c r="N153">
        <v>10.49</v>
      </c>
      <c r="O153">
        <v>35078.559999999998</v>
      </c>
      <c r="P153" t="s">
        <v>72</v>
      </c>
      <c r="Q153">
        <v>614809</v>
      </c>
      <c r="R153">
        <v>35078.559999999998</v>
      </c>
      <c r="S153">
        <v>5958.81</v>
      </c>
      <c r="T153" s="1">
        <v>45584</v>
      </c>
      <c r="U153" t="s">
        <v>87</v>
      </c>
      <c r="V153">
        <v>29</v>
      </c>
      <c r="W153">
        <v>38</v>
      </c>
      <c r="X153">
        <v>37</v>
      </c>
      <c r="Y153">
        <v>0</v>
      </c>
      <c r="Z153">
        <v>0</v>
      </c>
      <c r="AA153">
        <v>0</v>
      </c>
      <c r="AB153" t="s">
        <v>104</v>
      </c>
      <c r="AC153" t="s">
        <v>105</v>
      </c>
      <c r="AD153">
        <v>2021</v>
      </c>
      <c r="AE153" t="s">
        <v>90</v>
      </c>
      <c r="AF153" t="b">
        <v>1</v>
      </c>
      <c r="AG153">
        <v>1727000</v>
      </c>
      <c r="AH153">
        <v>975191.75</v>
      </c>
      <c r="AI153">
        <v>0.94520000000000004</v>
      </c>
      <c r="AJ153">
        <v>0.65439999999999998</v>
      </c>
      <c r="AK153">
        <v>58</v>
      </c>
      <c r="AL153" t="s">
        <v>106</v>
      </c>
      <c r="AM153">
        <v>3303000</v>
      </c>
      <c r="AN153">
        <v>0.12740000000000001</v>
      </c>
      <c r="AO153">
        <v>777</v>
      </c>
      <c r="AP153">
        <v>793</v>
      </c>
      <c r="AQ153" t="s">
        <v>127</v>
      </c>
      <c r="AR153" t="s">
        <v>215</v>
      </c>
      <c r="AS153">
        <v>1</v>
      </c>
      <c r="AT153">
        <v>2.3599999999999999E-2</v>
      </c>
      <c r="AU153">
        <v>0.64970000000000006</v>
      </c>
      <c r="AV153">
        <v>627536.81000000006</v>
      </c>
      <c r="AW153">
        <v>9621.9699999999993</v>
      </c>
      <c r="AX153" t="b">
        <v>0</v>
      </c>
      <c r="AY153" t="b">
        <v>1</v>
      </c>
      <c r="AZ153" t="s">
        <v>290</v>
      </c>
      <c r="BA153">
        <v>0</v>
      </c>
      <c r="BB153">
        <v>0</v>
      </c>
      <c r="BC153">
        <v>0</v>
      </c>
      <c r="BD153">
        <v>0</v>
      </c>
      <c r="BE153" t="s">
        <v>108</v>
      </c>
      <c r="BF153" t="b">
        <v>1</v>
      </c>
    </row>
    <row r="154" spans="1:58" x14ac:dyDescent="0.3">
      <c r="A154" t="s">
        <v>479</v>
      </c>
      <c r="B154" t="s">
        <v>67</v>
      </c>
      <c r="C154" t="s">
        <v>480</v>
      </c>
      <c r="D154" t="s">
        <v>95</v>
      </c>
      <c r="E154" t="s">
        <v>96</v>
      </c>
      <c r="F154" t="s">
        <v>115</v>
      </c>
      <c r="G154" s="1">
        <v>44718</v>
      </c>
      <c r="H154" s="1">
        <v>45596</v>
      </c>
      <c r="I154" s="1">
        <v>46518</v>
      </c>
      <c r="J154">
        <v>635900</v>
      </c>
      <c r="K154">
        <v>60</v>
      </c>
      <c r="L154">
        <v>32</v>
      </c>
      <c r="M154">
        <v>28</v>
      </c>
      <c r="N154">
        <v>9.89</v>
      </c>
      <c r="O154">
        <v>13476.6</v>
      </c>
      <c r="P154" t="s">
        <v>72</v>
      </c>
      <c r="Q154">
        <v>342083.51</v>
      </c>
      <c r="R154">
        <v>13476.6</v>
      </c>
      <c r="S154">
        <v>13580.91</v>
      </c>
      <c r="T154" s="1">
        <v>45575</v>
      </c>
      <c r="U154" t="s">
        <v>73</v>
      </c>
      <c r="V154">
        <v>0</v>
      </c>
      <c r="W154">
        <v>28</v>
      </c>
      <c r="X154">
        <v>28</v>
      </c>
      <c r="Y154">
        <v>0</v>
      </c>
      <c r="Z154">
        <v>0</v>
      </c>
      <c r="AA154">
        <v>0</v>
      </c>
      <c r="AB154" t="s">
        <v>74</v>
      </c>
      <c r="AC154" t="s">
        <v>260</v>
      </c>
      <c r="AD154">
        <v>2022</v>
      </c>
      <c r="AE154" t="s">
        <v>90</v>
      </c>
      <c r="AF154" t="b">
        <v>1</v>
      </c>
      <c r="AG154">
        <v>1056000</v>
      </c>
      <c r="AH154">
        <v>743189.88</v>
      </c>
      <c r="AI154">
        <v>0.60209999999999997</v>
      </c>
      <c r="AJ154">
        <v>0.4879</v>
      </c>
      <c r="AK154">
        <v>25</v>
      </c>
      <c r="AL154" t="s">
        <v>77</v>
      </c>
      <c r="AM154">
        <v>1212000</v>
      </c>
      <c r="AN154">
        <v>0.13339999999999999</v>
      </c>
      <c r="AO154">
        <v>736</v>
      </c>
      <c r="AP154">
        <v>747</v>
      </c>
      <c r="AQ154" t="s">
        <v>127</v>
      </c>
      <c r="AR154" t="s">
        <v>128</v>
      </c>
      <c r="AS154">
        <v>1</v>
      </c>
      <c r="AT154">
        <v>2.4E-2</v>
      </c>
      <c r="AU154">
        <v>0.43980000000000002</v>
      </c>
      <c r="AV154">
        <v>354483.42</v>
      </c>
      <c r="AW154">
        <v>3741.64</v>
      </c>
      <c r="AX154" t="b">
        <v>0</v>
      </c>
      <c r="AY154" t="b">
        <v>0</v>
      </c>
      <c r="AZ154" t="s">
        <v>80</v>
      </c>
      <c r="BA154">
        <v>0</v>
      </c>
      <c r="BB154">
        <v>0</v>
      </c>
      <c r="BC154">
        <v>0</v>
      </c>
      <c r="BD154">
        <v>0</v>
      </c>
      <c r="BE154" t="s">
        <v>81</v>
      </c>
      <c r="BF154" t="b">
        <v>1</v>
      </c>
    </row>
    <row r="155" spans="1:58" x14ac:dyDescent="0.3">
      <c r="A155" t="s">
        <v>481</v>
      </c>
      <c r="B155" t="s">
        <v>67</v>
      </c>
      <c r="C155" t="s">
        <v>482</v>
      </c>
      <c r="D155" t="s">
        <v>69</v>
      </c>
      <c r="E155" t="s">
        <v>70</v>
      </c>
      <c r="F155" t="s">
        <v>115</v>
      </c>
      <c r="G155" s="1">
        <v>44921</v>
      </c>
      <c r="H155" s="1">
        <v>45596</v>
      </c>
      <c r="I155" s="1">
        <v>47441</v>
      </c>
      <c r="J155">
        <v>466600</v>
      </c>
      <c r="K155">
        <v>84</v>
      </c>
      <c r="L155">
        <v>62</v>
      </c>
      <c r="M155">
        <v>22</v>
      </c>
      <c r="N155">
        <v>13.4</v>
      </c>
      <c r="O155">
        <v>8590.17</v>
      </c>
      <c r="P155" t="s">
        <v>72</v>
      </c>
      <c r="Q155">
        <v>339452.22</v>
      </c>
      <c r="R155">
        <v>8590.17</v>
      </c>
      <c r="S155">
        <v>8938.0300000000007</v>
      </c>
      <c r="T155" s="1">
        <v>45587</v>
      </c>
      <c r="U155" t="s">
        <v>73</v>
      </c>
      <c r="V155">
        <v>0</v>
      </c>
      <c r="W155">
        <v>22</v>
      </c>
      <c r="X155">
        <v>22</v>
      </c>
      <c r="Y155">
        <v>0</v>
      </c>
      <c r="Z155">
        <v>0</v>
      </c>
      <c r="AA155">
        <v>0</v>
      </c>
      <c r="AB155" t="s">
        <v>74</v>
      </c>
      <c r="AC155" t="s">
        <v>420</v>
      </c>
      <c r="AD155">
        <v>2022</v>
      </c>
      <c r="AE155" t="s">
        <v>99</v>
      </c>
      <c r="AF155" t="b">
        <v>1</v>
      </c>
      <c r="AG155">
        <v>638000</v>
      </c>
      <c r="AH155">
        <v>440474.66</v>
      </c>
      <c r="AI155">
        <v>0.73129999999999995</v>
      </c>
      <c r="AJ155">
        <v>0.72289999999999999</v>
      </c>
      <c r="AK155">
        <v>34</v>
      </c>
      <c r="AL155" t="s">
        <v>132</v>
      </c>
      <c r="AM155">
        <v>2354000</v>
      </c>
      <c r="AN155">
        <v>4.3799999999999999E-2</v>
      </c>
      <c r="AO155">
        <v>830</v>
      </c>
      <c r="AP155">
        <v>820</v>
      </c>
      <c r="AQ155" t="s">
        <v>145</v>
      </c>
      <c r="AR155" t="s">
        <v>157</v>
      </c>
      <c r="AS155">
        <v>1</v>
      </c>
      <c r="AT155">
        <v>1.8499999999999999E-2</v>
      </c>
      <c r="AU155">
        <v>0.36120000000000002</v>
      </c>
      <c r="AV155">
        <v>342882.36</v>
      </c>
      <c r="AW155">
        <v>2291.21</v>
      </c>
      <c r="AX155" t="b">
        <v>0</v>
      </c>
      <c r="AY155" t="b">
        <v>0</v>
      </c>
      <c r="AZ155" t="s">
        <v>80</v>
      </c>
      <c r="BA155">
        <v>0</v>
      </c>
      <c r="BB155">
        <v>0</v>
      </c>
      <c r="BC155">
        <v>0</v>
      </c>
      <c r="BD155">
        <v>0</v>
      </c>
      <c r="BE155" t="s">
        <v>134</v>
      </c>
      <c r="BF155" t="b">
        <v>1</v>
      </c>
    </row>
    <row r="156" spans="1:58" x14ac:dyDescent="0.3">
      <c r="A156" t="s">
        <v>483</v>
      </c>
      <c r="B156" t="s">
        <v>67</v>
      </c>
      <c r="C156" t="s">
        <v>484</v>
      </c>
      <c r="D156" t="s">
        <v>69</v>
      </c>
      <c r="E156" t="s">
        <v>70</v>
      </c>
      <c r="F156" t="s">
        <v>86</v>
      </c>
      <c r="G156" s="1">
        <v>45187</v>
      </c>
      <c r="H156" s="1">
        <v>45596</v>
      </c>
      <c r="I156" s="1">
        <v>47707</v>
      </c>
      <c r="J156">
        <v>1063900</v>
      </c>
      <c r="K156">
        <v>84</v>
      </c>
      <c r="L156">
        <v>71</v>
      </c>
      <c r="M156">
        <v>13</v>
      </c>
      <c r="N156">
        <v>12.24</v>
      </c>
      <c r="O156">
        <v>18917.57</v>
      </c>
      <c r="P156" t="s">
        <v>72</v>
      </c>
      <c r="Q156">
        <v>827225.79</v>
      </c>
      <c r="R156">
        <v>18917.57</v>
      </c>
      <c r="S156">
        <v>10156.83</v>
      </c>
      <c r="T156" s="1">
        <v>45579</v>
      </c>
      <c r="U156" t="s">
        <v>131</v>
      </c>
      <c r="V156">
        <v>79</v>
      </c>
      <c r="W156">
        <v>13</v>
      </c>
      <c r="X156">
        <v>11</v>
      </c>
      <c r="Y156">
        <v>0</v>
      </c>
      <c r="Z156">
        <v>2</v>
      </c>
      <c r="AA156">
        <v>2</v>
      </c>
      <c r="AB156" t="s">
        <v>97</v>
      </c>
      <c r="AC156" t="s">
        <v>152</v>
      </c>
      <c r="AD156">
        <v>2023</v>
      </c>
      <c r="AE156" t="s">
        <v>76</v>
      </c>
      <c r="AF156" t="b">
        <v>1</v>
      </c>
      <c r="AG156">
        <v>1677000</v>
      </c>
      <c r="AH156">
        <v>1316118.55</v>
      </c>
      <c r="AI156">
        <v>0.63439999999999996</v>
      </c>
      <c r="AJ156">
        <v>0.58450000000000002</v>
      </c>
      <c r="AK156">
        <v>25</v>
      </c>
      <c r="AL156" t="s">
        <v>120</v>
      </c>
      <c r="AM156">
        <v>2122000</v>
      </c>
      <c r="AN156">
        <v>0.107</v>
      </c>
      <c r="AO156">
        <v>783</v>
      </c>
      <c r="AP156">
        <v>747</v>
      </c>
      <c r="AQ156" t="s">
        <v>145</v>
      </c>
      <c r="AR156" t="s">
        <v>157</v>
      </c>
      <c r="AS156">
        <v>2</v>
      </c>
      <c r="AT156">
        <v>0.13</v>
      </c>
      <c r="AU156">
        <v>0.41299999999999998</v>
      </c>
      <c r="AV156">
        <v>835521.02</v>
      </c>
      <c r="AW156">
        <v>44859.12</v>
      </c>
      <c r="AX156" t="b">
        <v>0</v>
      </c>
      <c r="AY156" t="b">
        <v>0</v>
      </c>
      <c r="AZ156" t="s">
        <v>80</v>
      </c>
      <c r="BA156">
        <v>0</v>
      </c>
      <c r="BB156">
        <v>0</v>
      </c>
      <c r="BC156">
        <v>0</v>
      </c>
      <c r="BD156">
        <v>0</v>
      </c>
      <c r="BE156" t="s">
        <v>134</v>
      </c>
      <c r="BF156" t="b">
        <v>1</v>
      </c>
    </row>
    <row r="157" spans="1:58" x14ac:dyDescent="0.3">
      <c r="A157" t="s">
        <v>485</v>
      </c>
      <c r="B157" t="s">
        <v>67</v>
      </c>
      <c r="C157" t="s">
        <v>486</v>
      </c>
      <c r="D157" t="s">
        <v>69</v>
      </c>
      <c r="E157" t="s">
        <v>70</v>
      </c>
      <c r="F157" t="s">
        <v>124</v>
      </c>
      <c r="G157" s="1">
        <v>44757</v>
      </c>
      <c r="H157" s="1">
        <v>45596</v>
      </c>
      <c r="I157" s="1">
        <v>46557</v>
      </c>
      <c r="J157">
        <v>850500</v>
      </c>
      <c r="K157">
        <v>60</v>
      </c>
      <c r="L157">
        <v>33</v>
      </c>
      <c r="M157">
        <v>27</v>
      </c>
      <c r="N157">
        <v>11.35</v>
      </c>
      <c r="O157">
        <v>18640.73</v>
      </c>
      <c r="P157" t="s">
        <v>72</v>
      </c>
      <c r="Q157">
        <v>440016.21</v>
      </c>
      <c r="R157">
        <v>18640.73</v>
      </c>
      <c r="S157">
        <v>18857.55</v>
      </c>
      <c r="T157" s="1">
        <v>45577</v>
      </c>
      <c r="U157" t="s">
        <v>73</v>
      </c>
      <c r="V157">
        <v>0</v>
      </c>
      <c r="W157">
        <v>27</v>
      </c>
      <c r="X157">
        <v>27</v>
      </c>
      <c r="Y157">
        <v>0</v>
      </c>
      <c r="Z157">
        <v>0</v>
      </c>
      <c r="AA157">
        <v>0</v>
      </c>
      <c r="AB157" t="s">
        <v>74</v>
      </c>
      <c r="AC157" t="s">
        <v>75</v>
      </c>
      <c r="AD157">
        <v>2022</v>
      </c>
      <c r="AE157" t="s">
        <v>90</v>
      </c>
      <c r="AF157" t="b">
        <v>1</v>
      </c>
      <c r="AG157">
        <v>1265000</v>
      </c>
      <c r="AH157">
        <v>826464.09</v>
      </c>
      <c r="AI157">
        <v>0.67230000000000001</v>
      </c>
      <c r="AJ157">
        <v>0.51459999999999995</v>
      </c>
      <c r="AK157">
        <v>42</v>
      </c>
      <c r="AL157" t="s">
        <v>77</v>
      </c>
      <c r="AM157">
        <v>1105000</v>
      </c>
      <c r="AN157">
        <v>0.2024</v>
      </c>
      <c r="AO157">
        <v>729</v>
      </c>
      <c r="AP157">
        <v>757</v>
      </c>
      <c r="AQ157" t="s">
        <v>91</v>
      </c>
      <c r="AR157" t="s">
        <v>252</v>
      </c>
      <c r="AS157">
        <v>1</v>
      </c>
      <c r="AT157">
        <v>1.8700000000000001E-2</v>
      </c>
      <c r="AU157">
        <v>0.56140000000000001</v>
      </c>
      <c r="AV157">
        <v>459625</v>
      </c>
      <c r="AW157">
        <v>4825.2299999999996</v>
      </c>
      <c r="AX157" t="b">
        <v>0</v>
      </c>
      <c r="AY157" t="b">
        <v>0</v>
      </c>
      <c r="AZ157" t="s">
        <v>80</v>
      </c>
      <c r="BA157">
        <v>0</v>
      </c>
      <c r="BB157">
        <v>0</v>
      </c>
      <c r="BC157">
        <v>0</v>
      </c>
      <c r="BD157">
        <v>0</v>
      </c>
      <c r="BE157" t="s">
        <v>134</v>
      </c>
      <c r="BF157" t="b">
        <v>1</v>
      </c>
    </row>
    <row r="158" spans="1:58" x14ac:dyDescent="0.3">
      <c r="A158" t="s">
        <v>487</v>
      </c>
      <c r="B158" t="s">
        <v>67</v>
      </c>
      <c r="C158" t="s">
        <v>488</v>
      </c>
      <c r="D158" t="s">
        <v>69</v>
      </c>
      <c r="E158" t="s">
        <v>70</v>
      </c>
      <c r="F158" t="s">
        <v>86</v>
      </c>
      <c r="G158" s="1">
        <v>44602</v>
      </c>
      <c r="H158" s="1">
        <v>45596</v>
      </c>
      <c r="I158" s="1">
        <v>46762</v>
      </c>
      <c r="J158">
        <v>1475700</v>
      </c>
      <c r="K158">
        <v>72</v>
      </c>
      <c r="L158">
        <v>40</v>
      </c>
      <c r="M158">
        <v>32</v>
      </c>
      <c r="N158">
        <v>8.18</v>
      </c>
      <c r="O158">
        <v>26003.69</v>
      </c>
      <c r="P158" t="s">
        <v>72</v>
      </c>
      <c r="Q158">
        <v>776020.42</v>
      </c>
      <c r="R158">
        <v>26003.69</v>
      </c>
      <c r="S158">
        <v>2141.29</v>
      </c>
      <c r="T158" s="1">
        <v>45590</v>
      </c>
      <c r="U158" t="s">
        <v>131</v>
      </c>
      <c r="V158">
        <v>82</v>
      </c>
      <c r="W158">
        <v>32</v>
      </c>
      <c r="X158">
        <v>28</v>
      </c>
      <c r="Y158">
        <v>3</v>
      </c>
      <c r="Z158">
        <v>1</v>
      </c>
      <c r="AA158">
        <v>0</v>
      </c>
      <c r="AB158" t="s">
        <v>97</v>
      </c>
      <c r="AC158" t="s">
        <v>98</v>
      </c>
      <c r="AD158">
        <v>2022</v>
      </c>
      <c r="AE158" t="s">
        <v>166</v>
      </c>
      <c r="AF158" t="b">
        <v>1</v>
      </c>
      <c r="AG158">
        <v>2333000</v>
      </c>
      <c r="AH158">
        <v>1387078.5</v>
      </c>
      <c r="AI158">
        <v>0.63249999999999995</v>
      </c>
      <c r="AJ158">
        <v>0.54</v>
      </c>
      <c r="AK158">
        <v>53</v>
      </c>
      <c r="AL158" t="s">
        <v>120</v>
      </c>
      <c r="AM158">
        <v>1389000</v>
      </c>
      <c r="AN158">
        <v>0.22470000000000001</v>
      </c>
      <c r="AO158">
        <v>707</v>
      </c>
      <c r="AP158">
        <v>675</v>
      </c>
      <c r="AQ158" t="s">
        <v>78</v>
      </c>
      <c r="AR158" t="s">
        <v>133</v>
      </c>
      <c r="AS158">
        <v>2</v>
      </c>
      <c r="AT158">
        <v>0.11849999999999999</v>
      </c>
      <c r="AU158">
        <v>0.60370000000000001</v>
      </c>
      <c r="AV158">
        <v>786972.29</v>
      </c>
      <c r="AW158">
        <v>56298.78</v>
      </c>
      <c r="AX158" t="b">
        <v>0</v>
      </c>
      <c r="AY158" t="b">
        <v>0</v>
      </c>
      <c r="AZ158" t="s">
        <v>80</v>
      </c>
      <c r="BA158">
        <v>0</v>
      </c>
      <c r="BB158">
        <v>0</v>
      </c>
      <c r="BC158">
        <v>0</v>
      </c>
      <c r="BD158">
        <v>0</v>
      </c>
      <c r="BE158" t="s">
        <v>108</v>
      </c>
      <c r="BF158" t="b">
        <v>1</v>
      </c>
    </row>
    <row r="159" spans="1:58" x14ac:dyDescent="0.3">
      <c r="A159" t="s">
        <v>489</v>
      </c>
      <c r="B159" t="s">
        <v>67</v>
      </c>
      <c r="C159" t="s">
        <v>490</v>
      </c>
      <c r="D159" t="s">
        <v>84</v>
      </c>
      <c r="E159" t="s">
        <v>85</v>
      </c>
      <c r="F159" t="s">
        <v>124</v>
      </c>
      <c r="G159" s="1">
        <v>45527</v>
      </c>
      <c r="H159" s="1">
        <v>45596</v>
      </c>
      <c r="I159" s="1">
        <v>46967</v>
      </c>
      <c r="J159">
        <v>1636300</v>
      </c>
      <c r="K159">
        <v>48</v>
      </c>
      <c r="L159">
        <v>46</v>
      </c>
      <c r="M159">
        <v>2</v>
      </c>
      <c r="N159">
        <v>11.34</v>
      </c>
      <c r="O159">
        <v>42561.71</v>
      </c>
      <c r="P159" t="s">
        <v>72</v>
      </c>
      <c r="Q159">
        <v>1636300</v>
      </c>
      <c r="R159">
        <v>42561.71</v>
      </c>
      <c r="S159">
        <v>40896.46</v>
      </c>
      <c r="T159" s="1">
        <v>45572</v>
      </c>
      <c r="U159" t="s">
        <v>73</v>
      </c>
      <c r="V159">
        <v>0</v>
      </c>
      <c r="W159">
        <v>2</v>
      </c>
      <c r="X159">
        <v>2</v>
      </c>
      <c r="Y159">
        <v>0</v>
      </c>
      <c r="Z159">
        <v>0</v>
      </c>
      <c r="AA159">
        <v>0</v>
      </c>
      <c r="AB159" t="s">
        <v>74</v>
      </c>
      <c r="AC159" t="s">
        <v>260</v>
      </c>
      <c r="AD159">
        <v>2024</v>
      </c>
      <c r="AE159" t="s">
        <v>166</v>
      </c>
      <c r="AF159" t="b">
        <v>1</v>
      </c>
      <c r="AG159">
        <v>2394000</v>
      </c>
      <c r="AH159">
        <v>2255890.35</v>
      </c>
      <c r="AI159">
        <v>0.6835</v>
      </c>
      <c r="AJ159">
        <v>0.70030000000000003</v>
      </c>
      <c r="AK159">
        <v>26</v>
      </c>
      <c r="AL159" t="s">
        <v>106</v>
      </c>
      <c r="AM159">
        <v>3654000</v>
      </c>
      <c r="AN159">
        <v>0.13980000000000001</v>
      </c>
      <c r="AO159">
        <v>760</v>
      </c>
      <c r="AP159">
        <v>765</v>
      </c>
      <c r="AQ159" t="s">
        <v>78</v>
      </c>
      <c r="AR159" t="s">
        <v>133</v>
      </c>
      <c r="AS159">
        <v>1</v>
      </c>
      <c r="AT159">
        <v>1.7899999999999999E-2</v>
      </c>
      <c r="AU159">
        <v>0.37930000000000003</v>
      </c>
      <c r="AV159">
        <v>1672725.37</v>
      </c>
      <c r="AW159">
        <v>11356.92</v>
      </c>
      <c r="AX159" t="b">
        <v>0</v>
      </c>
      <c r="AY159" t="b">
        <v>0</v>
      </c>
      <c r="AZ159" t="s">
        <v>80</v>
      </c>
      <c r="BA159">
        <v>0</v>
      </c>
      <c r="BB159">
        <v>0</v>
      </c>
      <c r="BC159">
        <v>0</v>
      </c>
      <c r="BD159">
        <v>0</v>
      </c>
      <c r="BE159" t="s">
        <v>108</v>
      </c>
      <c r="BF159" t="b">
        <v>1</v>
      </c>
    </row>
    <row r="160" spans="1:58" x14ac:dyDescent="0.3">
      <c r="A160" t="s">
        <v>491</v>
      </c>
      <c r="B160" t="s">
        <v>67</v>
      </c>
      <c r="C160" t="s">
        <v>492</v>
      </c>
      <c r="D160" t="s">
        <v>84</v>
      </c>
      <c r="E160" t="s">
        <v>85</v>
      </c>
      <c r="F160" t="s">
        <v>124</v>
      </c>
      <c r="G160" s="1">
        <v>45517</v>
      </c>
      <c r="H160" s="1">
        <v>45596</v>
      </c>
      <c r="I160" s="1">
        <v>46597</v>
      </c>
      <c r="J160">
        <v>1687500</v>
      </c>
      <c r="K160">
        <v>36</v>
      </c>
      <c r="L160">
        <v>34</v>
      </c>
      <c r="M160">
        <v>2</v>
      </c>
      <c r="N160">
        <v>12.8</v>
      </c>
      <c r="O160">
        <v>56696.12</v>
      </c>
      <c r="P160" t="s">
        <v>72</v>
      </c>
      <c r="Q160">
        <v>1592366.96</v>
      </c>
      <c r="R160">
        <v>56696.12</v>
      </c>
      <c r="S160">
        <v>53866.1</v>
      </c>
      <c r="T160" s="1">
        <v>45561</v>
      </c>
      <c r="U160" t="s">
        <v>73</v>
      </c>
      <c r="V160">
        <v>0</v>
      </c>
      <c r="W160">
        <v>2</v>
      </c>
      <c r="X160">
        <v>2</v>
      </c>
      <c r="Y160">
        <v>0</v>
      </c>
      <c r="Z160">
        <v>0</v>
      </c>
      <c r="AA160">
        <v>0</v>
      </c>
      <c r="AB160" t="s">
        <v>117</v>
      </c>
      <c r="AC160" t="s">
        <v>377</v>
      </c>
      <c r="AD160">
        <v>2024</v>
      </c>
      <c r="AE160" t="s">
        <v>76</v>
      </c>
      <c r="AF160" t="b">
        <v>1</v>
      </c>
      <c r="AG160">
        <v>1842000</v>
      </c>
      <c r="AH160">
        <v>1913121.54</v>
      </c>
      <c r="AI160">
        <v>0.91610000000000003</v>
      </c>
      <c r="AJ160">
        <v>0.88570000000000004</v>
      </c>
      <c r="AK160">
        <v>56</v>
      </c>
      <c r="AL160" t="s">
        <v>106</v>
      </c>
      <c r="AM160">
        <v>3143000</v>
      </c>
      <c r="AN160">
        <v>0.2165</v>
      </c>
      <c r="AO160">
        <v>700</v>
      </c>
      <c r="AP160">
        <v>676</v>
      </c>
      <c r="AQ160" t="s">
        <v>91</v>
      </c>
      <c r="AR160" t="s">
        <v>192</v>
      </c>
      <c r="AS160">
        <v>1</v>
      </c>
      <c r="AT160">
        <v>2.4199999999999999E-2</v>
      </c>
      <c r="AU160">
        <v>0.60580000000000001</v>
      </c>
      <c r="AV160">
        <v>1597335.99</v>
      </c>
      <c r="AW160">
        <v>23417.52</v>
      </c>
      <c r="AX160" t="b">
        <v>0</v>
      </c>
      <c r="AY160" t="b">
        <v>0</v>
      </c>
      <c r="AZ160" t="s">
        <v>80</v>
      </c>
      <c r="BA160">
        <v>0</v>
      </c>
      <c r="BB160">
        <v>0</v>
      </c>
      <c r="BC160">
        <v>0</v>
      </c>
      <c r="BD160">
        <v>0</v>
      </c>
      <c r="BE160" t="s">
        <v>108</v>
      </c>
      <c r="BF160" t="b">
        <v>0</v>
      </c>
    </row>
    <row r="161" spans="1:58" x14ac:dyDescent="0.3">
      <c r="A161" t="s">
        <v>493</v>
      </c>
      <c r="B161" t="s">
        <v>67</v>
      </c>
      <c r="C161" t="s">
        <v>494</v>
      </c>
      <c r="D161" t="s">
        <v>69</v>
      </c>
      <c r="E161" t="s">
        <v>70</v>
      </c>
      <c r="F161" t="s">
        <v>71</v>
      </c>
      <c r="G161" s="1">
        <v>44932</v>
      </c>
      <c r="H161" s="1">
        <v>45596</v>
      </c>
      <c r="I161" s="1">
        <v>46732</v>
      </c>
      <c r="J161">
        <v>971100</v>
      </c>
      <c r="K161">
        <v>60</v>
      </c>
      <c r="L161">
        <v>39</v>
      </c>
      <c r="M161">
        <v>21</v>
      </c>
      <c r="N161">
        <v>12.48</v>
      </c>
      <c r="O161">
        <v>21837.87</v>
      </c>
      <c r="P161" t="s">
        <v>72</v>
      </c>
      <c r="Q161">
        <v>606537.59</v>
      </c>
      <c r="R161">
        <v>21837.87</v>
      </c>
      <c r="S161">
        <v>22505.98</v>
      </c>
      <c r="T161" s="1">
        <v>45567</v>
      </c>
      <c r="U161" t="s">
        <v>73</v>
      </c>
      <c r="V161">
        <v>0</v>
      </c>
      <c r="W161">
        <v>21</v>
      </c>
      <c r="X161">
        <v>21</v>
      </c>
      <c r="Y161">
        <v>0</v>
      </c>
      <c r="Z161">
        <v>0</v>
      </c>
      <c r="AA161">
        <v>0</v>
      </c>
      <c r="AB161" t="s">
        <v>74</v>
      </c>
      <c r="AC161" t="s">
        <v>260</v>
      </c>
      <c r="AD161">
        <v>2023</v>
      </c>
      <c r="AE161" t="s">
        <v>76</v>
      </c>
      <c r="AF161" t="b">
        <v>1</v>
      </c>
      <c r="AG161">
        <v>1204000</v>
      </c>
      <c r="AH161">
        <v>971483.44</v>
      </c>
      <c r="AI161">
        <v>0.80659999999999998</v>
      </c>
      <c r="AJ161">
        <v>0.67349999999999999</v>
      </c>
      <c r="AK161">
        <v>57</v>
      </c>
      <c r="AL161" t="s">
        <v>77</v>
      </c>
      <c r="AM161">
        <v>3414000</v>
      </c>
      <c r="AN161">
        <v>7.6799999999999993E-2</v>
      </c>
      <c r="AO161">
        <v>771</v>
      </c>
      <c r="AP161">
        <v>738</v>
      </c>
      <c r="AQ161" t="s">
        <v>100</v>
      </c>
      <c r="AR161" t="s">
        <v>149</v>
      </c>
      <c r="AS161">
        <v>1</v>
      </c>
      <c r="AT161">
        <v>2.2700000000000001E-2</v>
      </c>
      <c r="AU161">
        <v>0.496</v>
      </c>
      <c r="AV161">
        <v>619782.40000000002</v>
      </c>
      <c r="AW161">
        <v>6978.25</v>
      </c>
      <c r="AX161" t="b">
        <v>0</v>
      </c>
      <c r="AY161" t="b">
        <v>1</v>
      </c>
      <c r="AZ161" t="s">
        <v>290</v>
      </c>
      <c r="BA161">
        <v>0</v>
      </c>
      <c r="BB161">
        <v>0</v>
      </c>
      <c r="BC161">
        <v>0</v>
      </c>
      <c r="BD161">
        <v>0</v>
      </c>
      <c r="BE161" t="s">
        <v>108</v>
      </c>
      <c r="BF161" t="b">
        <v>1</v>
      </c>
    </row>
    <row r="162" spans="1:58" x14ac:dyDescent="0.3">
      <c r="A162" t="s">
        <v>495</v>
      </c>
      <c r="B162" t="s">
        <v>67</v>
      </c>
      <c r="C162" t="s">
        <v>496</v>
      </c>
      <c r="D162" t="s">
        <v>69</v>
      </c>
      <c r="E162" t="s">
        <v>70</v>
      </c>
      <c r="F162" t="s">
        <v>71</v>
      </c>
      <c r="G162" s="1">
        <v>45434</v>
      </c>
      <c r="H162" s="1">
        <v>45596</v>
      </c>
      <c r="I162" s="1">
        <v>47594</v>
      </c>
      <c r="J162">
        <v>1035200</v>
      </c>
      <c r="K162">
        <v>72</v>
      </c>
      <c r="L162">
        <v>67</v>
      </c>
      <c r="M162">
        <v>5</v>
      </c>
      <c r="N162">
        <v>9.99</v>
      </c>
      <c r="O162">
        <v>19172.73</v>
      </c>
      <c r="P162" t="s">
        <v>72</v>
      </c>
      <c r="Q162">
        <v>893826.19</v>
      </c>
      <c r="R162">
        <v>19172.73</v>
      </c>
      <c r="S162">
        <v>1199.98</v>
      </c>
      <c r="T162" s="1">
        <v>45591</v>
      </c>
      <c r="U162" t="s">
        <v>131</v>
      </c>
      <c r="V162">
        <v>61</v>
      </c>
      <c r="W162">
        <v>5</v>
      </c>
      <c r="X162">
        <v>1</v>
      </c>
      <c r="Y162">
        <v>0</v>
      </c>
      <c r="Z162">
        <v>2</v>
      </c>
      <c r="AA162">
        <v>1</v>
      </c>
      <c r="AB162" t="s">
        <v>174</v>
      </c>
      <c r="AC162" t="s">
        <v>175</v>
      </c>
      <c r="AD162">
        <v>2024</v>
      </c>
      <c r="AE162" t="s">
        <v>90</v>
      </c>
      <c r="AF162" t="b">
        <v>1</v>
      </c>
      <c r="AG162">
        <v>1167000</v>
      </c>
      <c r="AH162">
        <v>1041084.77</v>
      </c>
      <c r="AI162">
        <v>0.88700000000000001</v>
      </c>
      <c r="AJ162">
        <v>0.81479999999999997</v>
      </c>
      <c r="AK162">
        <v>22</v>
      </c>
      <c r="AL162" t="s">
        <v>120</v>
      </c>
      <c r="AM162">
        <v>4280000</v>
      </c>
      <c r="AN162">
        <v>5.3800000000000001E-2</v>
      </c>
      <c r="AO162">
        <v>710</v>
      </c>
      <c r="AP162">
        <v>724</v>
      </c>
      <c r="AQ162" t="s">
        <v>91</v>
      </c>
      <c r="AR162" t="s">
        <v>192</v>
      </c>
      <c r="AS162">
        <v>2</v>
      </c>
      <c r="AT162">
        <v>0.1366</v>
      </c>
      <c r="AU162">
        <v>0.50790000000000002</v>
      </c>
      <c r="AV162">
        <v>932231.7</v>
      </c>
      <c r="AW162">
        <v>64677.43</v>
      </c>
      <c r="AX162" t="b">
        <v>0</v>
      </c>
      <c r="AY162" t="b">
        <v>0</v>
      </c>
      <c r="AZ162" t="s">
        <v>80</v>
      </c>
      <c r="BA162">
        <v>0</v>
      </c>
      <c r="BB162">
        <v>0</v>
      </c>
      <c r="BC162">
        <v>0</v>
      </c>
      <c r="BD162">
        <v>0</v>
      </c>
      <c r="BE162" t="s">
        <v>108</v>
      </c>
      <c r="BF162" t="b">
        <v>1</v>
      </c>
    </row>
    <row r="163" spans="1:58" x14ac:dyDescent="0.3">
      <c r="A163" t="s">
        <v>497</v>
      </c>
      <c r="B163" t="s">
        <v>67</v>
      </c>
      <c r="C163" t="s">
        <v>498</v>
      </c>
      <c r="D163" t="s">
        <v>95</v>
      </c>
      <c r="E163" t="s">
        <v>96</v>
      </c>
      <c r="F163" t="s">
        <v>115</v>
      </c>
      <c r="G163" s="1">
        <v>45488</v>
      </c>
      <c r="H163" s="1">
        <v>45596</v>
      </c>
      <c r="I163" s="1">
        <v>47288</v>
      </c>
      <c r="J163">
        <v>645700</v>
      </c>
      <c r="K163">
        <v>60</v>
      </c>
      <c r="L163">
        <v>57</v>
      </c>
      <c r="M163">
        <v>3</v>
      </c>
      <c r="N163">
        <v>11.25</v>
      </c>
      <c r="O163">
        <v>14119.72</v>
      </c>
      <c r="P163" t="s">
        <v>72</v>
      </c>
      <c r="Q163">
        <v>553065.69999999995</v>
      </c>
      <c r="R163">
        <v>14119.72</v>
      </c>
      <c r="S163">
        <v>14295.25</v>
      </c>
      <c r="T163" s="1">
        <v>45578</v>
      </c>
      <c r="U163" t="s">
        <v>73</v>
      </c>
      <c r="V163">
        <v>0</v>
      </c>
      <c r="W163">
        <v>3</v>
      </c>
      <c r="X163">
        <v>3</v>
      </c>
      <c r="Y163">
        <v>0</v>
      </c>
      <c r="Z163">
        <v>0</v>
      </c>
      <c r="AA163">
        <v>0</v>
      </c>
      <c r="AB163" t="s">
        <v>74</v>
      </c>
      <c r="AC163" t="s">
        <v>212</v>
      </c>
      <c r="AD163">
        <v>2024</v>
      </c>
      <c r="AE163" t="s">
        <v>90</v>
      </c>
      <c r="AF163" t="b">
        <v>1</v>
      </c>
      <c r="AG163">
        <v>1044000</v>
      </c>
      <c r="AH163">
        <v>1003348.48</v>
      </c>
      <c r="AI163">
        <v>0.61850000000000005</v>
      </c>
      <c r="AJ163">
        <v>0.54949999999999999</v>
      </c>
      <c r="AK163">
        <v>54</v>
      </c>
      <c r="AL163" t="s">
        <v>120</v>
      </c>
      <c r="AM163">
        <v>2998000</v>
      </c>
      <c r="AN163">
        <v>5.6500000000000002E-2</v>
      </c>
      <c r="AO163">
        <v>734</v>
      </c>
      <c r="AP163">
        <v>737</v>
      </c>
      <c r="AQ163" t="s">
        <v>91</v>
      </c>
      <c r="AR163" t="s">
        <v>192</v>
      </c>
      <c r="AS163">
        <v>1</v>
      </c>
      <c r="AT163">
        <v>2.1600000000000001E-2</v>
      </c>
      <c r="AU163">
        <v>0.52339999999999998</v>
      </c>
      <c r="AV163">
        <v>568907.16</v>
      </c>
      <c r="AW163">
        <v>6431.75</v>
      </c>
      <c r="AX163" t="b">
        <v>0</v>
      </c>
      <c r="AY163" t="b">
        <v>0</v>
      </c>
      <c r="AZ163" t="s">
        <v>80</v>
      </c>
      <c r="BA163">
        <v>0</v>
      </c>
      <c r="BB163">
        <v>0</v>
      </c>
      <c r="BC163">
        <v>0</v>
      </c>
      <c r="BD163">
        <v>0</v>
      </c>
      <c r="BE163" t="s">
        <v>108</v>
      </c>
      <c r="BF163" t="b">
        <v>1</v>
      </c>
    </row>
    <row r="164" spans="1:58" x14ac:dyDescent="0.3">
      <c r="A164" t="s">
        <v>499</v>
      </c>
      <c r="B164" t="s">
        <v>67</v>
      </c>
      <c r="C164" t="s">
        <v>500</v>
      </c>
      <c r="D164" t="s">
        <v>69</v>
      </c>
      <c r="E164" t="s">
        <v>70</v>
      </c>
      <c r="F164" t="s">
        <v>71</v>
      </c>
      <c r="G164" s="1">
        <v>44456</v>
      </c>
      <c r="H164" s="1">
        <v>45596</v>
      </c>
      <c r="I164" s="1">
        <v>46256</v>
      </c>
      <c r="J164">
        <v>1207800</v>
      </c>
      <c r="K164">
        <v>60</v>
      </c>
      <c r="L164">
        <v>23</v>
      </c>
      <c r="M164">
        <v>37</v>
      </c>
      <c r="N164">
        <v>13.51</v>
      </c>
      <c r="O164">
        <v>27797.51</v>
      </c>
      <c r="P164" t="s">
        <v>72</v>
      </c>
      <c r="Q164">
        <v>417677.38</v>
      </c>
      <c r="R164">
        <v>27797.51</v>
      </c>
      <c r="S164">
        <v>5291.48</v>
      </c>
      <c r="T164" s="1">
        <v>45568</v>
      </c>
      <c r="U164" t="s">
        <v>87</v>
      </c>
      <c r="V164">
        <v>9</v>
      </c>
      <c r="W164">
        <v>37</v>
      </c>
      <c r="X164">
        <v>36</v>
      </c>
      <c r="Y164">
        <v>0</v>
      </c>
      <c r="Z164">
        <v>0</v>
      </c>
      <c r="AA164">
        <v>0</v>
      </c>
      <c r="AB164" t="s">
        <v>97</v>
      </c>
      <c r="AC164" t="s">
        <v>98</v>
      </c>
      <c r="AD164">
        <v>2021</v>
      </c>
      <c r="AE164" t="s">
        <v>119</v>
      </c>
      <c r="AF164" t="b">
        <v>1</v>
      </c>
      <c r="AG164">
        <v>1481000</v>
      </c>
      <c r="AH164">
        <v>860655.16</v>
      </c>
      <c r="AI164">
        <v>0.8155</v>
      </c>
      <c r="AJ164">
        <v>0.50719999999999998</v>
      </c>
      <c r="AK164">
        <v>63</v>
      </c>
      <c r="AL164" t="s">
        <v>77</v>
      </c>
      <c r="AM164">
        <v>4578000</v>
      </c>
      <c r="AN164">
        <v>7.2900000000000006E-2</v>
      </c>
      <c r="AO164">
        <v>839</v>
      </c>
      <c r="AP164">
        <v>808</v>
      </c>
      <c r="AQ164" t="s">
        <v>127</v>
      </c>
      <c r="AR164" t="s">
        <v>185</v>
      </c>
      <c r="AS164">
        <v>1</v>
      </c>
      <c r="AT164">
        <v>2.1100000000000001E-2</v>
      </c>
      <c r="AU164">
        <v>0.59650000000000003</v>
      </c>
      <c r="AV164">
        <v>435170.01</v>
      </c>
      <c r="AW164">
        <v>5477.12</v>
      </c>
      <c r="AX164" t="b">
        <v>0</v>
      </c>
      <c r="AY164" t="b">
        <v>0</v>
      </c>
      <c r="AZ164" t="s">
        <v>80</v>
      </c>
      <c r="BA164">
        <v>0</v>
      </c>
      <c r="BB164">
        <v>0</v>
      </c>
      <c r="BC164">
        <v>0</v>
      </c>
      <c r="BD164">
        <v>0</v>
      </c>
      <c r="BE164" t="s">
        <v>134</v>
      </c>
      <c r="BF164" t="b">
        <v>1</v>
      </c>
    </row>
    <row r="165" spans="1:58" x14ac:dyDescent="0.3">
      <c r="A165" t="s">
        <v>501</v>
      </c>
      <c r="B165" t="s">
        <v>67</v>
      </c>
      <c r="C165" t="s">
        <v>502</v>
      </c>
      <c r="D165" t="s">
        <v>95</v>
      </c>
      <c r="E165" t="s">
        <v>96</v>
      </c>
      <c r="F165" t="s">
        <v>124</v>
      </c>
      <c r="G165" s="1">
        <v>44539</v>
      </c>
      <c r="H165" s="1">
        <v>45596</v>
      </c>
      <c r="I165" s="1">
        <v>45619</v>
      </c>
      <c r="J165">
        <v>655800</v>
      </c>
      <c r="K165">
        <v>36</v>
      </c>
      <c r="L165">
        <v>2</v>
      </c>
      <c r="M165">
        <v>34</v>
      </c>
      <c r="N165">
        <v>7.87</v>
      </c>
      <c r="O165">
        <v>20511.080000000002</v>
      </c>
      <c r="P165" t="s">
        <v>72</v>
      </c>
      <c r="Q165">
        <v>35325.839999999997</v>
      </c>
      <c r="R165">
        <v>20511.080000000002</v>
      </c>
      <c r="S165">
        <v>20737.7</v>
      </c>
      <c r="T165" s="1">
        <v>45579</v>
      </c>
      <c r="U165" t="s">
        <v>73</v>
      </c>
      <c r="V165">
        <v>0</v>
      </c>
      <c r="W165">
        <v>34</v>
      </c>
      <c r="X165">
        <v>34</v>
      </c>
      <c r="Y165">
        <v>0</v>
      </c>
      <c r="Z165">
        <v>0</v>
      </c>
      <c r="AA165">
        <v>0</v>
      </c>
      <c r="AB165" t="s">
        <v>125</v>
      </c>
      <c r="AC165" t="s">
        <v>353</v>
      </c>
      <c r="AD165">
        <v>2021</v>
      </c>
      <c r="AE165" t="s">
        <v>119</v>
      </c>
      <c r="AF165" t="b">
        <v>1</v>
      </c>
      <c r="AG165">
        <v>947000</v>
      </c>
      <c r="AH165">
        <v>542119.75</v>
      </c>
      <c r="AI165">
        <v>0.6925</v>
      </c>
      <c r="AJ165">
        <v>6.3E-2</v>
      </c>
      <c r="AK165">
        <v>43</v>
      </c>
      <c r="AL165" t="s">
        <v>120</v>
      </c>
      <c r="AM165">
        <v>3807000</v>
      </c>
      <c r="AN165">
        <v>6.4699999999999994E-2</v>
      </c>
      <c r="AO165">
        <v>842</v>
      </c>
      <c r="AP165">
        <v>860</v>
      </c>
      <c r="AQ165" t="s">
        <v>100</v>
      </c>
      <c r="AR165" t="s">
        <v>107</v>
      </c>
      <c r="AS165">
        <v>1</v>
      </c>
      <c r="AT165">
        <v>2.2100000000000002E-2</v>
      </c>
      <c r="AU165">
        <v>0.63849999999999996</v>
      </c>
      <c r="AV165">
        <v>36532</v>
      </c>
      <c r="AW165">
        <v>515.5</v>
      </c>
      <c r="AX165" t="b">
        <v>0</v>
      </c>
      <c r="AY165" t="b">
        <v>0</v>
      </c>
      <c r="AZ165" t="s">
        <v>80</v>
      </c>
      <c r="BA165">
        <v>0</v>
      </c>
      <c r="BB165">
        <v>0</v>
      </c>
      <c r="BC165">
        <v>0</v>
      </c>
      <c r="BD165">
        <v>56469.8</v>
      </c>
      <c r="BE165" t="s">
        <v>134</v>
      </c>
      <c r="BF165" t="b">
        <v>1</v>
      </c>
    </row>
    <row r="166" spans="1:58" x14ac:dyDescent="0.3">
      <c r="A166" t="s">
        <v>503</v>
      </c>
      <c r="B166" t="s">
        <v>67</v>
      </c>
      <c r="C166" t="s">
        <v>504</v>
      </c>
      <c r="D166" t="s">
        <v>95</v>
      </c>
      <c r="E166" t="s">
        <v>96</v>
      </c>
      <c r="F166" t="s">
        <v>71</v>
      </c>
      <c r="G166" s="1">
        <v>44743</v>
      </c>
      <c r="H166" s="1">
        <v>45596</v>
      </c>
      <c r="I166" s="1">
        <v>46183</v>
      </c>
      <c r="J166">
        <v>1710300</v>
      </c>
      <c r="K166">
        <v>48</v>
      </c>
      <c r="L166">
        <v>21</v>
      </c>
      <c r="M166">
        <v>27</v>
      </c>
      <c r="N166">
        <v>12.64</v>
      </c>
      <c r="O166">
        <v>45578.06</v>
      </c>
      <c r="P166" t="s">
        <v>72</v>
      </c>
      <c r="Q166">
        <v>739508.12</v>
      </c>
      <c r="R166">
        <v>45578.06</v>
      </c>
      <c r="S166">
        <v>7905.96</v>
      </c>
      <c r="T166" s="1">
        <v>45589</v>
      </c>
      <c r="U166" t="s">
        <v>87</v>
      </c>
      <c r="V166">
        <v>1</v>
      </c>
      <c r="W166">
        <v>27</v>
      </c>
      <c r="X166">
        <v>26</v>
      </c>
      <c r="Y166">
        <v>1</v>
      </c>
      <c r="Z166">
        <v>0</v>
      </c>
      <c r="AA166">
        <v>0</v>
      </c>
      <c r="AB166" t="s">
        <v>74</v>
      </c>
      <c r="AC166" t="s">
        <v>260</v>
      </c>
      <c r="AD166">
        <v>2022</v>
      </c>
      <c r="AE166" t="s">
        <v>166</v>
      </c>
      <c r="AF166" t="b">
        <v>1</v>
      </c>
      <c r="AG166">
        <v>2045000</v>
      </c>
      <c r="AH166">
        <v>1439949.44</v>
      </c>
      <c r="AI166">
        <v>0.83640000000000003</v>
      </c>
      <c r="AJ166">
        <v>0.53490000000000004</v>
      </c>
      <c r="AK166">
        <v>57</v>
      </c>
      <c r="AL166" t="s">
        <v>106</v>
      </c>
      <c r="AM166">
        <v>4970000</v>
      </c>
      <c r="AN166">
        <v>0.11</v>
      </c>
      <c r="AO166">
        <v>730</v>
      </c>
      <c r="AP166">
        <v>750</v>
      </c>
      <c r="AQ166" t="s">
        <v>145</v>
      </c>
      <c r="AR166" t="s">
        <v>146</v>
      </c>
      <c r="AS166">
        <v>1</v>
      </c>
      <c r="AT166">
        <v>1.44E-2</v>
      </c>
      <c r="AU166">
        <v>0.53580000000000005</v>
      </c>
      <c r="AV166">
        <v>741611.35</v>
      </c>
      <c r="AW166">
        <v>5721.92</v>
      </c>
      <c r="AX166" t="b">
        <v>0</v>
      </c>
      <c r="AY166" t="b">
        <v>0</v>
      </c>
      <c r="AZ166" t="s">
        <v>80</v>
      </c>
      <c r="BA166">
        <v>0</v>
      </c>
      <c r="BB166">
        <v>0</v>
      </c>
      <c r="BC166">
        <v>0</v>
      </c>
      <c r="BD166">
        <v>0</v>
      </c>
      <c r="BE166" t="s">
        <v>108</v>
      </c>
      <c r="BF166" t="b">
        <v>0</v>
      </c>
    </row>
    <row r="167" spans="1:58" x14ac:dyDescent="0.3">
      <c r="A167" t="s">
        <v>505</v>
      </c>
      <c r="B167" t="s">
        <v>67</v>
      </c>
      <c r="C167" t="s">
        <v>506</v>
      </c>
      <c r="D167" t="s">
        <v>69</v>
      </c>
      <c r="E167" t="s">
        <v>70</v>
      </c>
      <c r="F167" t="s">
        <v>124</v>
      </c>
      <c r="G167" s="1">
        <v>44442</v>
      </c>
      <c r="H167" s="1">
        <v>45596</v>
      </c>
      <c r="I167" s="1">
        <v>45522</v>
      </c>
      <c r="J167">
        <v>904900</v>
      </c>
      <c r="K167">
        <v>36</v>
      </c>
      <c r="L167">
        <v>0</v>
      </c>
      <c r="M167">
        <v>37</v>
      </c>
      <c r="N167">
        <v>11.97</v>
      </c>
      <c r="O167">
        <v>30042.66</v>
      </c>
      <c r="P167" t="s">
        <v>139</v>
      </c>
      <c r="Q167">
        <v>0</v>
      </c>
      <c r="R167">
        <v>30042.66</v>
      </c>
      <c r="S167">
        <v>28859.73</v>
      </c>
      <c r="T167" s="1">
        <v>45568</v>
      </c>
      <c r="U167" t="s">
        <v>73</v>
      </c>
      <c r="V167">
        <v>0</v>
      </c>
      <c r="W167">
        <v>37</v>
      </c>
      <c r="X167">
        <v>37</v>
      </c>
      <c r="Y167">
        <v>0</v>
      </c>
      <c r="Z167">
        <v>0</v>
      </c>
      <c r="AA167">
        <v>0</v>
      </c>
      <c r="AB167" t="s">
        <v>74</v>
      </c>
      <c r="AC167" t="s">
        <v>220</v>
      </c>
      <c r="AD167">
        <v>2016</v>
      </c>
      <c r="AE167" t="s">
        <v>76</v>
      </c>
      <c r="AF167" t="b">
        <v>0</v>
      </c>
      <c r="AG167">
        <v>1314000</v>
      </c>
      <c r="AH167">
        <v>762057.61</v>
      </c>
      <c r="AI167">
        <v>0.68869999999999998</v>
      </c>
      <c r="AJ167">
        <v>0</v>
      </c>
      <c r="AK167">
        <v>52</v>
      </c>
      <c r="AL167" t="s">
        <v>106</v>
      </c>
      <c r="AM167">
        <v>4035000</v>
      </c>
      <c r="AN167">
        <v>8.9300000000000004E-2</v>
      </c>
      <c r="AO167">
        <v>720</v>
      </c>
      <c r="AP167">
        <v>677</v>
      </c>
      <c r="AQ167" t="s">
        <v>127</v>
      </c>
      <c r="AR167" t="s">
        <v>215</v>
      </c>
      <c r="AS167">
        <v>1</v>
      </c>
      <c r="AT167">
        <v>1.61E-2</v>
      </c>
      <c r="AU167">
        <v>0.49759999999999999</v>
      </c>
      <c r="AV167">
        <v>0</v>
      </c>
      <c r="AW167">
        <v>0</v>
      </c>
      <c r="AX167" t="b">
        <v>0</v>
      </c>
      <c r="AY167" t="b">
        <v>0</v>
      </c>
      <c r="AZ167" t="s">
        <v>80</v>
      </c>
      <c r="BA167">
        <v>0</v>
      </c>
      <c r="BB167">
        <v>0</v>
      </c>
      <c r="BC167">
        <v>0</v>
      </c>
      <c r="BD167">
        <v>0</v>
      </c>
      <c r="BE167" t="s">
        <v>108</v>
      </c>
      <c r="BF167" t="b">
        <v>1</v>
      </c>
    </row>
    <row r="168" spans="1:58" x14ac:dyDescent="0.3">
      <c r="A168" t="s">
        <v>507</v>
      </c>
      <c r="B168" t="s">
        <v>67</v>
      </c>
      <c r="C168" t="s">
        <v>508</v>
      </c>
      <c r="D168" t="s">
        <v>95</v>
      </c>
      <c r="E168" t="s">
        <v>96</v>
      </c>
      <c r="F168" t="s">
        <v>115</v>
      </c>
      <c r="G168" s="1">
        <v>44408</v>
      </c>
      <c r="H168" s="1">
        <v>45596</v>
      </c>
      <c r="I168" s="1">
        <v>45488</v>
      </c>
      <c r="J168">
        <v>458200</v>
      </c>
      <c r="K168">
        <v>36</v>
      </c>
      <c r="L168">
        <v>0</v>
      </c>
      <c r="M168">
        <v>39</v>
      </c>
      <c r="N168">
        <v>12.15</v>
      </c>
      <c r="O168">
        <v>15251.64</v>
      </c>
      <c r="P168" t="s">
        <v>116</v>
      </c>
      <c r="Q168">
        <v>0</v>
      </c>
      <c r="R168">
        <v>15251.64</v>
      </c>
      <c r="S168">
        <v>16009.67</v>
      </c>
      <c r="T168" s="1">
        <v>45591</v>
      </c>
      <c r="U168" t="s">
        <v>73</v>
      </c>
      <c r="V168">
        <v>0</v>
      </c>
      <c r="W168">
        <v>39</v>
      </c>
      <c r="X168">
        <v>39</v>
      </c>
      <c r="Y168">
        <v>0</v>
      </c>
      <c r="Z168">
        <v>0</v>
      </c>
      <c r="AA168">
        <v>0</v>
      </c>
      <c r="AB168" t="s">
        <v>117</v>
      </c>
      <c r="AC168" t="s">
        <v>377</v>
      </c>
      <c r="AD168">
        <v>2018</v>
      </c>
      <c r="AE168" t="s">
        <v>166</v>
      </c>
      <c r="AF168" t="b">
        <v>0</v>
      </c>
      <c r="AG168">
        <v>553000</v>
      </c>
      <c r="AH168">
        <v>286273.62</v>
      </c>
      <c r="AI168">
        <v>0.82850000000000001</v>
      </c>
      <c r="AJ168">
        <v>0</v>
      </c>
      <c r="AK168">
        <v>46</v>
      </c>
      <c r="AL168" t="s">
        <v>120</v>
      </c>
      <c r="AM168">
        <v>3001000</v>
      </c>
      <c r="AN168">
        <v>6.0999999999999999E-2</v>
      </c>
      <c r="AO168">
        <v>781</v>
      </c>
      <c r="AP168">
        <v>793</v>
      </c>
      <c r="AQ168" t="s">
        <v>127</v>
      </c>
      <c r="AR168" t="s">
        <v>215</v>
      </c>
      <c r="AS168">
        <v>1</v>
      </c>
      <c r="AT168">
        <v>2.0799999999999999E-2</v>
      </c>
      <c r="AU168">
        <v>0.63049999999999995</v>
      </c>
      <c r="AV168">
        <v>0</v>
      </c>
      <c r="AW168">
        <v>0</v>
      </c>
      <c r="AX168" t="b">
        <v>0</v>
      </c>
      <c r="AY168" t="b">
        <v>1</v>
      </c>
      <c r="AZ168" t="s">
        <v>290</v>
      </c>
      <c r="BA168">
        <v>0</v>
      </c>
      <c r="BB168">
        <v>0</v>
      </c>
      <c r="BC168">
        <v>0</v>
      </c>
      <c r="BD168">
        <v>0</v>
      </c>
      <c r="BE168" t="s">
        <v>108</v>
      </c>
      <c r="BF168" t="b">
        <v>1</v>
      </c>
    </row>
    <row r="169" spans="1:58" x14ac:dyDescent="0.3">
      <c r="A169" t="s">
        <v>509</v>
      </c>
      <c r="B169" t="s">
        <v>67</v>
      </c>
      <c r="C169" t="s">
        <v>510</v>
      </c>
      <c r="D169" t="s">
        <v>84</v>
      </c>
      <c r="E169" t="s">
        <v>85</v>
      </c>
      <c r="F169" t="s">
        <v>86</v>
      </c>
      <c r="G169" s="1">
        <v>44893</v>
      </c>
      <c r="H169" s="1">
        <v>45596</v>
      </c>
      <c r="I169" s="1">
        <v>45973</v>
      </c>
      <c r="J169">
        <v>1687000</v>
      </c>
      <c r="K169">
        <v>36</v>
      </c>
      <c r="L169">
        <v>13</v>
      </c>
      <c r="M169">
        <v>23</v>
      </c>
      <c r="N169">
        <v>14.27</v>
      </c>
      <c r="O169">
        <v>57879.14</v>
      </c>
      <c r="P169" t="s">
        <v>72</v>
      </c>
      <c r="Q169">
        <v>608652.32999999996</v>
      </c>
      <c r="R169">
        <v>57879.14</v>
      </c>
      <c r="S169">
        <v>55309.62</v>
      </c>
      <c r="T169" s="1">
        <v>45594</v>
      </c>
      <c r="U169" t="s">
        <v>73</v>
      </c>
      <c r="V169">
        <v>0</v>
      </c>
      <c r="W169">
        <v>23</v>
      </c>
      <c r="X169">
        <v>23</v>
      </c>
      <c r="Y169">
        <v>0</v>
      </c>
      <c r="Z169">
        <v>0</v>
      </c>
      <c r="AA169">
        <v>0</v>
      </c>
      <c r="AB169" t="s">
        <v>74</v>
      </c>
      <c r="AC169" t="s">
        <v>188</v>
      </c>
      <c r="AD169">
        <v>2022</v>
      </c>
      <c r="AE169" t="s">
        <v>119</v>
      </c>
      <c r="AF169" t="b">
        <v>1</v>
      </c>
      <c r="AG169">
        <v>2549000</v>
      </c>
      <c r="AH169">
        <v>1810599.4</v>
      </c>
      <c r="AI169">
        <v>0.66180000000000005</v>
      </c>
      <c r="AJ169">
        <v>0.32979999999999998</v>
      </c>
      <c r="AK169">
        <v>47</v>
      </c>
      <c r="AL169" t="s">
        <v>132</v>
      </c>
      <c r="AM169">
        <v>1334000</v>
      </c>
      <c r="AN169">
        <v>0.52070000000000005</v>
      </c>
      <c r="AO169">
        <v>671</v>
      </c>
      <c r="AP169">
        <v>701</v>
      </c>
      <c r="AQ169" t="s">
        <v>127</v>
      </c>
      <c r="AR169" t="s">
        <v>153</v>
      </c>
      <c r="AS169">
        <v>1</v>
      </c>
      <c r="AT169">
        <v>0.02</v>
      </c>
      <c r="AU169">
        <v>0.63949999999999996</v>
      </c>
      <c r="AV169">
        <v>633356.86</v>
      </c>
      <c r="AW169">
        <v>8100.63</v>
      </c>
      <c r="AX169" t="b">
        <v>0</v>
      </c>
      <c r="AY169" t="b">
        <v>0</v>
      </c>
      <c r="AZ169" t="s">
        <v>80</v>
      </c>
      <c r="BA169">
        <v>0</v>
      </c>
      <c r="BB169">
        <v>0</v>
      </c>
      <c r="BC169">
        <v>0</v>
      </c>
      <c r="BD169">
        <v>0</v>
      </c>
      <c r="BE169" t="s">
        <v>134</v>
      </c>
      <c r="BF169" t="b">
        <v>1</v>
      </c>
    </row>
    <row r="170" spans="1:58" x14ac:dyDescent="0.3">
      <c r="A170" t="s">
        <v>511</v>
      </c>
      <c r="B170" t="s">
        <v>67</v>
      </c>
      <c r="C170" t="s">
        <v>512</v>
      </c>
      <c r="D170" t="s">
        <v>84</v>
      </c>
      <c r="E170" t="s">
        <v>85</v>
      </c>
      <c r="F170" t="s">
        <v>115</v>
      </c>
      <c r="G170" s="1">
        <v>44630</v>
      </c>
      <c r="H170" s="1">
        <v>45596</v>
      </c>
      <c r="I170" s="1">
        <v>45710</v>
      </c>
      <c r="J170">
        <v>693600</v>
      </c>
      <c r="K170">
        <v>36</v>
      </c>
      <c r="L170">
        <v>5</v>
      </c>
      <c r="M170">
        <v>31</v>
      </c>
      <c r="N170">
        <v>7.76</v>
      </c>
      <c r="O170">
        <v>21658.19</v>
      </c>
      <c r="P170" t="s">
        <v>72</v>
      </c>
      <c r="Q170">
        <v>88745.98</v>
      </c>
      <c r="R170">
        <v>21658.19</v>
      </c>
      <c r="S170">
        <v>21498.38</v>
      </c>
      <c r="T170" s="1">
        <v>45571</v>
      </c>
      <c r="U170" t="s">
        <v>73</v>
      </c>
      <c r="V170">
        <v>0</v>
      </c>
      <c r="W170">
        <v>31</v>
      </c>
      <c r="X170">
        <v>31</v>
      </c>
      <c r="Y170">
        <v>0</v>
      </c>
      <c r="Z170">
        <v>0</v>
      </c>
      <c r="AA170">
        <v>0</v>
      </c>
      <c r="AB170" t="s">
        <v>97</v>
      </c>
      <c r="AC170" t="s">
        <v>152</v>
      </c>
      <c r="AD170">
        <v>2022</v>
      </c>
      <c r="AE170" t="s">
        <v>90</v>
      </c>
      <c r="AF170" t="b">
        <v>1</v>
      </c>
      <c r="AG170">
        <v>864000</v>
      </c>
      <c r="AH170">
        <v>523518.26</v>
      </c>
      <c r="AI170">
        <v>0.80279999999999996</v>
      </c>
      <c r="AJ170">
        <v>0.1636</v>
      </c>
      <c r="AK170">
        <v>25</v>
      </c>
      <c r="AL170" t="s">
        <v>120</v>
      </c>
      <c r="AM170">
        <v>4564000</v>
      </c>
      <c r="AN170">
        <v>5.6899999999999999E-2</v>
      </c>
      <c r="AO170">
        <v>808</v>
      </c>
      <c r="AP170">
        <v>763</v>
      </c>
      <c r="AQ170" t="s">
        <v>100</v>
      </c>
      <c r="AR170" t="s">
        <v>229</v>
      </c>
      <c r="AS170">
        <v>1</v>
      </c>
      <c r="AT170">
        <v>2.3800000000000002E-2</v>
      </c>
      <c r="AU170">
        <v>0.38190000000000002</v>
      </c>
      <c r="AV170">
        <v>90951.95</v>
      </c>
      <c r="AW170">
        <v>826.68</v>
      </c>
      <c r="AX170" t="b">
        <v>0</v>
      </c>
      <c r="AY170" t="b">
        <v>0</v>
      </c>
      <c r="AZ170" t="s">
        <v>80</v>
      </c>
      <c r="BA170">
        <v>0</v>
      </c>
      <c r="BB170">
        <v>0</v>
      </c>
      <c r="BC170">
        <v>0</v>
      </c>
      <c r="BD170">
        <v>0</v>
      </c>
      <c r="BE170" t="s">
        <v>81</v>
      </c>
      <c r="BF170" t="b">
        <v>1</v>
      </c>
    </row>
    <row r="171" spans="1:58" x14ac:dyDescent="0.3">
      <c r="A171" t="s">
        <v>513</v>
      </c>
      <c r="B171" t="s">
        <v>67</v>
      </c>
      <c r="C171" t="s">
        <v>514</v>
      </c>
      <c r="D171" t="s">
        <v>69</v>
      </c>
      <c r="E171" t="s">
        <v>70</v>
      </c>
      <c r="F171" t="s">
        <v>86</v>
      </c>
      <c r="G171" s="1">
        <v>45376</v>
      </c>
      <c r="H171" s="1">
        <v>45596</v>
      </c>
      <c r="I171" s="1">
        <v>47176</v>
      </c>
      <c r="J171">
        <v>1348700</v>
      </c>
      <c r="K171">
        <v>60</v>
      </c>
      <c r="L171">
        <v>53</v>
      </c>
      <c r="M171">
        <v>7</v>
      </c>
      <c r="N171">
        <v>7.94</v>
      </c>
      <c r="O171">
        <v>27308.06</v>
      </c>
      <c r="P171" t="s">
        <v>72</v>
      </c>
      <c r="Q171">
        <v>1121162</v>
      </c>
      <c r="R171">
        <v>27308.06</v>
      </c>
      <c r="S171">
        <v>5919.29</v>
      </c>
      <c r="T171" s="1">
        <v>45568</v>
      </c>
      <c r="U171" t="s">
        <v>131</v>
      </c>
      <c r="V171">
        <v>63</v>
      </c>
      <c r="W171">
        <v>7</v>
      </c>
      <c r="X171">
        <v>4</v>
      </c>
      <c r="Y171">
        <v>0</v>
      </c>
      <c r="Z171">
        <v>1</v>
      </c>
      <c r="AA171">
        <v>0</v>
      </c>
      <c r="AB171" t="s">
        <v>97</v>
      </c>
      <c r="AC171" t="s">
        <v>98</v>
      </c>
      <c r="AD171">
        <v>2024</v>
      </c>
      <c r="AE171" t="s">
        <v>76</v>
      </c>
      <c r="AF171" t="b">
        <v>1</v>
      </c>
      <c r="AG171">
        <v>1670000</v>
      </c>
      <c r="AH171">
        <v>1502806.51</v>
      </c>
      <c r="AI171">
        <v>0.80759999999999998</v>
      </c>
      <c r="AJ171">
        <v>0.7329</v>
      </c>
      <c r="AK171">
        <v>48</v>
      </c>
      <c r="AL171" t="s">
        <v>77</v>
      </c>
      <c r="AM171">
        <v>3573000</v>
      </c>
      <c r="AN171">
        <v>9.1700000000000004E-2</v>
      </c>
      <c r="AO171">
        <v>791</v>
      </c>
      <c r="AP171">
        <v>762</v>
      </c>
      <c r="AQ171" t="s">
        <v>127</v>
      </c>
      <c r="AR171" t="s">
        <v>153</v>
      </c>
      <c r="AS171">
        <v>2</v>
      </c>
      <c r="AT171">
        <v>0.114</v>
      </c>
      <c r="AU171">
        <v>0.59219999999999995</v>
      </c>
      <c r="AV171">
        <v>1164470.3999999999</v>
      </c>
      <c r="AW171">
        <v>78614.33</v>
      </c>
      <c r="AX171" t="b">
        <v>0</v>
      </c>
      <c r="AY171" t="b">
        <v>1</v>
      </c>
      <c r="AZ171" t="s">
        <v>361</v>
      </c>
      <c r="BA171">
        <v>0</v>
      </c>
      <c r="BB171">
        <v>0</v>
      </c>
      <c r="BC171">
        <v>0</v>
      </c>
      <c r="BD171">
        <v>0</v>
      </c>
      <c r="BE171" t="s">
        <v>108</v>
      </c>
      <c r="BF171" t="b">
        <v>1</v>
      </c>
    </row>
    <row r="172" spans="1:58" x14ac:dyDescent="0.3">
      <c r="A172" t="s">
        <v>515</v>
      </c>
      <c r="B172" t="s">
        <v>67</v>
      </c>
      <c r="C172" t="s">
        <v>516</v>
      </c>
      <c r="D172" t="s">
        <v>84</v>
      </c>
      <c r="E172" t="s">
        <v>85</v>
      </c>
      <c r="F172" t="s">
        <v>124</v>
      </c>
      <c r="G172" s="1">
        <v>44554</v>
      </c>
      <c r="H172" s="1">
        <v>45596</v>
      </c>
      <c r="I172" s="1">
        <v>46354</v>
      </c>
      <c r="J172">
        <v>1547400</v>
      </c>
      <c r="K172">
        <v>60</v>
      </c>
      <c r="L172">
        <v>26</v>
      </c>
      <c r="M172">
        <v>34</v>
      </c>
      <c r="N172">
        <v>9.93</v>
      </c>
      <c r="O172">
        <v>32824.410000000003</v>
      </c>
      <c r="P172" t="s">
        <v>72</v>
      </c>
      <c r="Q172">
        <v>603945.66</v>
      </c>
      <c r="R172">
        <v>32824.410000000003</v>
      </c>
      <c r="S172">
        <v>32609.97</v>
      </c>
      <c r="T172" s="1">
        <v>45575</v>
      </c>
      <c r="U172" t="s">
        <v>73</v>
      </c>
      <c r="V172">
        <v>0</v>
      </c>
      <c r="W172">
        <v>34</v>
      </c>
      <c r="X172">
        <v>34</v>
      </c>
      <c r="Y172">
        <v>0</v>
      </c>
      <c r="Z172">
        <v>0</v>
      </c>
      <c r="AA172">
        <v>0</v>
      </c>
      <c r="AB172" t="s">
        <v>104</v>
      </c>
      <c r="AC172" t="s">
        <v>105</v>
      </c>
      <c r="AD172">
        <v>2021</v>
      </c>
      <c r="AE172" t="s">
        <v>166</v>
      </c>
      <c r="AF172" t="b">
        <v>1</v>
      </c>
      <c r="AG172">
        <v>2453000</v>
      </c>
      <c r="AH172">
        <v>1486104.45</v>
      </c>
      <c r="AI172">
        <v>0.63080000000000003</v>
      </c>
      <c r="AJ172">
        <v>0.41589999999999999</v>
      </c>
      <c r="AK172">
        <v>36</v>
      </c>
      <c r="AL172" t="s">
        <v>132</v>
      </c>
      <c r="AM172">
        <v>2940000</v>
      </c>
      <c r="AN172">
        <v>0.13400000000000001</v>
      </c>
      <c r="AO172">
        <v>808</v>
      </c>
      <c r="AP172">
        <v>804</v>
      </c>
      <c r="AQ172" t="s">
        <v>78</v>
      </c>
      <c r="AR172" t="s">
        <v>79</v>
      </c>
      <c r="AS172">
        <v>1</v>
      </c>
      <c r="AT172">
        <v>0.02</v>
      </c>
      <c r="AU172">
        <v>0.39789999999999998</v>
      </c>
      <c r="AV172">
        <v>631807.88</v>
      </c>
      <c r="AW172">
        <v>5027.93</v>
      </c>
      <c r="AX172" t="b">
        <v>0</v>
      </c>
      <c r="AY172" t="b">
        <v>0</v>
      </c>
      <c r="AZ172" t="s">
        <v>80</v>
      </c>
      <c r="BA172">
        <v>0</v>
      </c>
      <c r="BB172">
        <v>0</v>
      </c>
      <c r="BC172">
        <v>0</v>
      </c>
      <c r="BD172">
        <v>0</v>
      </c>
      <c r="BE172" t="s">
        <v>81</v>
      </c>
      <c r="BF172" t="b">
        <v>1</v>
      </c>
    </row>
    <row r="173" spans="1:58" x14ac:dyDescent="0.3">
      <c r="A173" t="s">
        <v>517</v>
      </c>
      <c r="B173" t="s">
        <v>67</v>
      </c>
      <c r="C173" t="s">
        <v>518</v>
      </c>
      <c r="D173" t="s">
        <v>84</v>
      </c>
      <c r="E173" t="s">
        <v>85</v>
      </c>
      <c r="F173" t="s">
        <v>124</v>
      </c>
      <c r="G173" s="1">
        <v>45125</v>
      </c>
      <c r="H173" s="1">
        <v>45596</v>
      </c>
      <c r="I173" s="1">
        <v>47285</v>
      </c>
      <c r="J173">
        <v>781300</v>
      </c>
      <c r="K173">
        <v>72</v>
      </c>
      <c r="L173">
        <v>57</v>
      </c>
      <c r="M173">
        <v>15</v>
      </c>
      <c r="N173">
        <v>11.1</v>
      </c>
      <c r="O173">
        <v>14911.37</v>
      </c>
      <c r="P173" t="s">
        <v>72</v>
      </c>
      <c r="Q173">
        <v>563250.55000000005</v>
      </c>
      <c r="R173">
        <v>14911.37</v>
      </c>
      <c r="S173">
        <v>14369.2</v>
      </c>
      <c r="T173" s="1">
        <v>45584</v>
      </c>
      <c r="U173" t="s">
        <v>73</v>
      </c>
      <c r="V173">
        <v>0</v>
      </c>
      <c r="W173">
        <v>15</v>
      </c>
      <c r="X173">
        <v>15</v>
      </c>
      <c r="Y173">
        <v>0</v>
      </c>
      <c r="Z173">
        <v>0</v>
      </c>
      <c r="AA173">
        <v>0</v>
      </c>
      <c r="AB173" t="s">
        <v>117</v>
      </c>
      <c r="AC173" t="s">
        <v>377</v>
      </c>
      <c r="AD173">
        <v>2023</v>
      </c>
      <c r="AE173" t="s">
        <v>90</v>
      </c>
      <c r="AF173" t="b">
        <v>1</v>
      </c>
      <c r="AG173">
        <v>893000</v>
      </c>
      <c r="AH173">
        <v>751594.76</v>
      </c>
      <c r="AI173">
        <v>0.87490000000000001</v>
      </c>
      <c r="AJ173">
        <v>0.76919999999999999</v>
      </c>
      <c r="AK173">
        <v>51</v>
      </c>
      <c r="AL173" t="s">
        <v>106</v>
      </c>
      <c r="AM173">
        <v>3887000</v>
      </c>
      <c r="AN173">
        <v>4.5999999999999999E-2</v>
      </c>
      <c r="AO173">
        <v>733</v>
      </c>
      <c r="AP173">
        <v>712</v>
      </c>
      <c r="AQ173" t="s">
        <v>145</v>
      </c>
      <c r="AR173" t="s">
        <v>157</v>
      </c>
      <c r="AS173">
        <v>1</v>
      </c>
      <c r="AT173">
        <v>1.47E-2</v>
      </c>
      <c r="AU173">
        <v>0.48080000000000001</v>
      </c>
      <c r="AV173">
        <v>569338.31000000006</v>
      </c>
      <c r="AW173">
        <v>4023.95</v>
      </c>
      <c r="AX173" t="b">
        <v>0</v>
      </c>
      <c r="AY173" t="b">
        <v>0</v>
      </c>
      <c r="AZ173" t="s">
        <v>80</v>
      </c>
      <c r="BA173">
        <v>0</v>
      </c>
      <c r="BB173">
        <v>0</v>
      </c>
      <c r="BC173">
        <v>0</v>
      </c>
      <c r="BD173">
        <v>0</v>
      </c>
      <c r="BE173" t="s">
        <v>134</v>
      </c>
      <c r="BF173" t="b">
        <v>1</v>
      </c>
    </row>
    <row r="174" spans="1:58" x14ac:dyDescent="0.3">
      <c r="A174" t="s">
        <v>519</v>
      </c>
      <c r="B174" t="s">
        <v>67</v>
      </c>
      <c r="C174" t="s">
        <v>520</v>
      </c>
      <c r="D174" t="s">
        <v>84</v>
      </c>
      <c r="E174" t="s">
        <v>85</v>
      </c>
      <c r="F174" t="s">
        <v>71</v>
      </c>
      <c r="G174" s="1">
        <v>44749</v>
      </c>
      <c r="H174" s="1">
        <v>45596</v>
      </c>
      <c r="I174" s="1">
        <v>46189</v>
      </c>
      <c r="J174">
        <v>239600</v>
      </c>
      <c r="K174">
        <v>48</v>
      </c>
      <c r="L174">
        <v>21</v>
      </c>
      <c r="M174">
        <v>27</v>
      </c>
      <c r="N174">
        <v>12.82</v>
      </c>
      <c r="O174">
        <v>6406.48</v>
      </c>
      <c r="P174" t="s">
        <v>139</v>
      </c>
      <c r="Q174">
        <v>97799.42</v>
      </c>
      <c r="R174">
        <v>6406.48</v>
      </c>
      <c r="S174">
        <v>4683.16</v>
      </c>
      <c r="T174" s="1">
        <v>45596</v>
      </c>
      <c r="U174" t="s">
        <v>140</v>
      </c>
      <c r="V174">
        <v>339</v>
      </c>
      <c r="W174">
        <v>27</v>
      </c>
      <c r="X174">
        <v>24</v>
      </c>
      <c r="Y174">
        <v>3</v>
      </c>
      <c r="Z174">
        <v>1</v>
      </c>
      <c r="AA174">
        <v>1</v>
      </c>
      <c r="AB174" t="s">
        <v>125</v>
      </c>
      <c r="AC174" t="s">
        <v>238</v>
      </c>
      <c r="AD174">
        <v>2017</v>
      </c>
      <c r="AE174" t="s">
        <v>99</v>
      </c>
      <c r="AF174" t="b">
        <v>0</v>
      </c>
      <c r="AG174">
        <v>314000</v>
      </c>
      <c r="AH174">
        <v>208773.18</v>
      </c>
      <c r="AI174">
        <v>0.76290000000000002</v>
      </c>
      <c r="AJ174">
        <v>0.4607</v>
      </c>
      <c r="AK174">
        <v>62</v>
      </c>
      <c r="AL174" t="s">
        <v>77</v>
      </c>
      <c r="AM174">
        <v>4011000</v>
      </c>
      <c r="AN174">
        <v>1.9199999999999998E-2</v>
      </c>
      <c r="AO174">
        <v>813</v>
      </c>
      <c r="AP174">
        <v>841</v>
      </c>
      <c r="AQ174" t="s">
        <v>100</v>
      </c>
      <c r="AR174" t="s">
        <v>149</v>
      </c>
      <c r="AS174">
        <v>3</v>
      </c>
      <c r="AT174">
        <v>0.72140000000000004</v>
      </c>
      <c r="AU174">
        <v>0.4803</v>
      </c>
      <c r="AV174">
        <v>98886.98</v>
      </c>
      <c r="AW174">
        <v>34263.19</v>
      </c>
      <c r="AX174" t="b">
        <v>0</v>
      </c>
      <c r="AY174" t="b">
        <v>1</v>
      </c>
      <c r="AZ174" t="s">
        <v>225</v>
      </c>
      <c r="BA174">
        <v>0</v>
      </c>
      <c r="BB174">
        <v>0</v>
      </c>
      <c r="BC174">
        <v>0</v>
      </c>
      <c r="BD174">
        <v>0</v>
      </c>
      <c r="BE174" t="s">
        <v>108</v>
      </c>
      <c r="BF174" t="b">
        <v>0</v>
      </c>
    </row>
    <row r="175" spans="1:58" x14ac:dyDescent="0.3">
      <c r="A175" t="s">
        <v>521</v>
      </c>
      <c r="B175" t="s">
        <v>67</v>
      </c>
      <c r="C175" t="s">
        <v>522</v>
      </c>
      <c r="D175" t="s">
        <v>84</v>
      </c>
      <c r="E175" t="s">
        <v>85</v>
      </c>
      <c r="F175" t="s">
        <v>124</v>
      </c>
      <c r="G175" s="1">
        <v>44287</v>
      </c>
      <c r="H175" s="1">
        <v>45596</v>
      </c>
      <c r="I175" s="1">
        <v>46447</v>
      </c>
      <c r="J175">
        <v>579200</v>
      </c>
      <c r="K175">
        <v>72</v>
      </c>
      <c r="L175">
        <v>30</v>
      </c>
      <c r="M175">
        <v>42</v>
      </c>
      <c r="N175">
        <v>13.17</v>
      </c>
      <c r="O175">
        <v>11678.95</v>
      </c>
      <c r="P175" t="s">
        <v>72</v>
      </c>
      <c r="Q175">
        <v>242418.86</v>
      </c>
      <c r="R175">
        <v>11678.95</v>
      </c>
      <c r="S175">
        <v>12115.98</v>
      </c>
      <c r="T175" s="1">
        <v>45571</v>
      </c>
      <c r="U175" t="s">
        <v>73</v>
      </c>
      <c r="V175">
        <v>0</v>
      </c>
      <c r="W175">
        <v>42</v>
      </c>
      <c r="X175">
        <v>42</v>
      </c>
      <c r="Y175">
        <v>0</v>
      </c>
      <c r="Z175">
        <v>0</v>
      </c>
      <c r="AA175">
        <v>0</v>
      </c>
      <c r="AB175" t="s">
        <v>117</v>
      </c>
      <c r="AC175" t="s">
        <v>202</v>
      </c>
      <c r="AD175">
        <v>2021</v>
      </c>
      <c r="AE175" t="s">
        <v>90</v>
      </c>
      <c r="AF175" t="b">
        <v>1</v>
      </c>
      <c r="AG175">
        <v>737000</v>
      </c>
      <c r="AH175">
        <v>342518.26</v>
      </c>
      <c r="AI175">
        <v>0.78590000000000004</v>
      </c>
      <c r="AJ175">
        <v>0.66320000000000001</v>
      </c>
      <c r="AK175">
        <v>53</v>
      </c>
      <c r="AL175" t="s">
        <v>120</v>
      </c>
      <c r="AM175">
        <v>1430000</v>
      </c>
      <c r="AN175">
        <v>9.8000000000000004E-2</v>
      </c>
      <c r="AO175">
        <v>792</v>
      </c>
      <c r="AP175">
        <v>743</v>
      </c>
      <c r="AQ175" t="s">
        <v>127</v>
      </c>
      <c r="AR175" t="s">
        <v>153</v>
      </c>
      <c r="AS175">
        <v>1</v>
      </c>
      <c r="AT175">
        <v>2.4299999999999999E-2</v>
      </c>
      <c r="AU175">
        <v>0.57420000000000004</v>
      </c>
      <c r="AV175">
        <v>242714.77</v>
      </c>
      <c r="AW175">
        <v>3386.61</v>
      </c>
      <c r="AX175" t="b">
        <v>0</v>
      </c>
      <c r="AY175" t="b">
        <v>0</v>
      </c>
      <c r="AZ175" t="s">
        <v>80</v>
      </c>
      <c r="BA175">
        <v>0</v>
      </c>
      <c r="BB175">
        <v>0</v>
      </c>
      <c r="BC175">
        <v>0</v>
      </c>
      <c r="BD175">
        <v>0</v>
      </c>
      <c r="BE175" t="s">
        <v>108</v>
      </c>
      <c r="BF175" t="b">
        <v>0</v>
      </c>
    </row>
    <row r="176" spans="1:58" x14ac:dyDescent="0.3">
      <c r="A176" t="s">
        <v>523</v>
      </c>
      <c r="B176" t="s">
        <v>67</v>
      </c>
      <c r="C176" t="s">
        <v>524</v>
      </c>
      <c r="D176" t="s">
        <v>95</v>
      </c>
      <c r="E176" t="s">
        <v>96</v>
      </c>
      <c r="F176" t="s">
        <v>71</v>
      </c>
      <c r="G176" s="1">
        <v>44955</v>
      </c>
      <c r="H176" s="1">
        <v>45596</v>
      </c>
      <c r="I176" s="1">
        <v>47475</v>
      </c>
      <c r="J176">
        <v>569900</v>
      </c>
      <c r="K176">
        <v>84</v>
      </c>
      <c r="L176">
        <v>63</v>
      </c>
      <c r="M176">
        <v>21</v>
      </c>
      <c r="N176">
        <v>7.73</v>
      </c>
      <c r="O176">
        <v>8806.1200000000008</v>
      </c>
      <c r="P176" t="s">
        <v>72</v>
      </c>
      <c r="Q176">
        <v>411988.69</v>
      </c>
      <c r="R176">
        <v>8806.1200000000008</v>
      </c>
      <c r="S176">
        <v>1681.14</v>
      </c>
      <c r="T176" s="1">
        <v>45589</v>
      </c>
      <c r="U176" t="s">
        <v>131</v>
      </c>
      <c r="V176">
        <v>81</v>
      </c>
      <c r="W176">
        <v>21</v>
      </c>
      <c r="X176">
        <v>16</v>
      </c>
      <c r="Y176">
        <v>2</v>
      </c>
      <c r="Z176">
        <v>1</v>
      </c>
      <c r="AA176">
        <v>2</v>
      </c>
      <c r="AB176" t="s">
        <v>164</v>
      </c>
      <c r="AC176" t="s">
        <v>426</v>
      </c>
      <c r="AD176">
        <v>2023</v>
      </c>
      <c r="AE176" t="s">
        <v>99</v>
      </c>
      <c r="AF176" t="b">
        <v>1</v>
      </c>
      <c r="AG176">
        <v>677000</v>
      </c>
      <c r="AH176">
        <v>521490.49</v>
      </c>
      <c r="AI176">
        <v>0.84179999999999999</v>
      </c>
      <c r="AJ176">
        <v>0.81359999999999999</v>
      </c>
      <c r="AK176">
        <v>57</v>
      </c>
      <c r="AL176" t="s">
        <v>77</v>
      </c>
      <c r="AM176">
        <v>4002000</v>
      </c>
      <c r="AN176">
        <v>2.64E-2</v>
      </c>
      <c r="AO176">
        <v>670</v>
      </c>
      <c r="AP176">
        <v>699</v>
      </c>
      <c r="AQ176" t="s">
        <v>91</v>
      </c>
      <c r="AR176" t="s">
        <v>252</v>
      </c>
      <c r="AS176">
        <v>2</v>
      </c>
      <c r="AT176">
        <v>0.13070000000000001</v>
      </c>
      <c r="AU176">
        <v>0.5615</v>
      </c>
      <c r="AV176">
        <v>423539.99</v>
      </c>
      <c r="AW176">
        <v>31082.77</v>
      </c>
      <c r="AX176" t="b">
        <v>0</v>
      </c>
      <c r="AY176" t="b">
        <v>0</v>
      </c>
      <c r="AZ176" t="s">
        <v>80</v>
      </c>
      <c r="BA176">
        <v>0</v>
      </c>
      <c r="BB176">
        <v>0</v>
      </c>
      <c r="BC176">
        <v>0</v>
      </c>
      <c r="BD176">
        <v>0</v>
      </c>
      <c r="BE176" t="s">
        <v>134</v>
      </c>
      <c r="BF176" t="b">
        <v>1</v>
      </c>
    </row>
    <row r="177" spans="1:58" x14ac:dyDescent="0.3">
      <c r="A177" t="s">
        <v>525</v>
      </c>
      <c r="B177" t="s">
        <v>67</v>
      </c>
      <c r="C177" t="s">
        <v>526</v>
      </c>
      <c r="D177" t="s">
        <v>69</v>
      </c>
      <c r="E177" t="s">
        <v>70</v>
      </c>
      <c r="F177" t="s">
        <v>86</v>
      </c>
      <c r="G177" s="1">
        <v>45385</v>
      </c>
      <c r="H177" s="1">
        <v>45596</v>
      </c>
      <c r="I177" s="1">
        <v>46465</v>
      </c>
      <c r="J177">
        <v>1615700</v>
      </c>
      <c r="K177">
        <v>36</v>
      </c>
      <c r="L177">
        <v>30</v>
      </c>
      <c r="M177">
        <v>6</v>
      </c>
      <c r="N177">
        <v>7.94</v>
      </c>
      <c r="O177">
        <v>50585.46</v>
      </c>
      <c r="P177" t="s">
        <v>72</v>
      </c>
      <c r="Q177">
        <v>1281497.82</v>
      </c>
      <c r="R177">
        <v>50585.46</v>
      </c>
      <c r="S177">
        <v>35409.54</v>
      </c>
      <c r="T177" s="1">
        <v>45563</v>
      </c>
      <c r="U177" t="s">
        <v>87</v>
      </c>
      <c r="V177">
        <v>23</v>
      </c>
      <c r="W177">
        <v>6</v>
      </c>
      <c r="X177">
        <v>5</v>
      </c>
      <c r="Y177">
        <v>0</v>
      </c>
      <c r="Z177">
        <v>0</v>
      </c>
      <c r="AA177">
        <v>0</v>
      </c>
      <c r="AB177" t="s">
        <v>125</v>
      </c>
      <c r="AC177" t="s">
        <v>191</v>
      </c>
      <c r="AD177">
        <v>2024</v>
      </c>
      <c r="AE177" t="s">
        <v>119</v>
      </c>
      <c r="AF177" t="b">
        <v>1</v>
      </c>
      <c r="AG177">
        <v>2160000</v>
      </c>
      <c r="AH177">
        <v>2185726.9900000002</v>
      </c>
      <c r="AI177">
        <v>0.748</v>
      </c>
      <c r="AJ177">
        <v>0.63929999999999998</v>
      </c>
      <c r="AK177">
        <v>54</v>
      </c>
      <c r="AL177" t="s">
        <v>132</v>
      </c>
      <c r="AM177">
        <v>1783000</v>
      </c>
      <c r="AN177">
        <v>0.34050000000000002</v>
      </c>
      <c r="AO177">
        <v>786</v>
      </c>
      <c r="AP177">
        <v>773</v>
      </c>
      <c r="AQ177" t="s">
        <v>127</v>
      </c>
      <c r="AR177" t="s">
        <v>185</v>
      </c>
      <c r="AS177">
        <v>1</v>
      </c>
      <c r="AT177">
        <v>2.5499999999999998E-2</v>
      </c>
      <c r="AU177">
        <v>0.37309999999999999</v>
      </c>
      <c r="AV177">
        <v>1292055.2</v>
      </c>
      <c r="AW177">
        <v>12292.68</v>
      </c>
      <c r="AX177" t="b">
        <v>0</v>
      </c>
      <c r="AY177" t="b">
        <v>0</v>
      </c>
      <c r="AZ177" t="s">
        <v>80</v>
      </c>
      <c r="BA177">
        <v>0</v>
      </c>
      <c r="BB177">
        <v>0</v>
      </c>
      <c r="BC177">
        <v>0</v>
      </c>
      <c r="BD177">
        <v>0</v>
      </c>
      <c r="BE177" t="s">
        <v>81</v>
      </c>
      <c r="BF177" t="b">
        <v>1</v>
      </c>
    </row>
    <row r="178" spans="1:58" x14ac:dyDescent="0.3">
      <c r="A178" t="s">
        <v>527</v>
      </c>
      <c r="B178" t="s">
        <v>67</v>
      </c>
      <c r="C178" t="s">
        <v>528</v>
      </c>
      <c r="D178" t="s">
        <v>95</v>
      </c>
      <c r="E178" t="s">
        <v>96</v>
      </c>
      <c r="F178" t="s">
        <v>71</v>
      </c>
      <c r="G178" s="1">
        <v>44243</v>
      </c>
      <c r="H178" s="1">
        <v>45596</v>
      </c>
      <c r="I178" s="1">
        <v>46403</v>
      </c>
      <c r="J178">
        <v>1321100</v>
      </c>
      <c r="K178">
        <v>72</v>
      </c>
      <c r="L178">
        <v>28</v>
      </c>
      <c r="M178">
        <v>44</v>
      </c>
      <c r="N178">
        <v>10.61</v>
      </c>
      <c r="O178">
        <v>24882.82</v>
      </c>
      <c r="P178" t="s">
        <v>72</v>
      </c>
      <c r="Q178">
        <v>512067.07</v>
      </c>
      <c r="R178">
        <v>24882.82</v>
      </c>
      <c r="S178">
        <v>25554.03</v>
      </c>
      <c r="T178" s="1">
        <v>45593</v>
      </c>
      <c r="U178" t="s">
        <v>73</v>
      </c>
      <c r="V178">
        <v>0</v>
      </c>
      <c r="W178">
        <v>44</v>
      </c>
      <c r="X178">
        <v>44</v>
      </c>
      <c r="Y178">
        <v>0</v>
      </c>
      <c r="Z178">
        <v>0</v>
      </c>
      <c r="AA178">
        <v>0</v>
      </c>
      <c r="AB178" t="s">
        <v>88</v>
      </c>
      <c r="AC178" t="s">
        <v>171</v>
      </c>
      <c r="AD178">
        <v>2021</v>
      </c>
      <c r="AE178" t="s">
        <v>90</v>
      </c>
      <c r="AF178" t="b">
        <v>1</v>
      </c>
      <c r="AG178">
        <v>1725000</v>
      </c>
      <c r="AH178">
        <v>756935.41</v>
      </c>
      <c r="AI178">
        <v>0.76590000000000003</v>
      </c>
      <c r="AJ178">
        <v>0.62890000000000001</v>
      </c>
      <c r="AK178">
        <v>37</v>
      </c>
      <c r="AL178" t="s">
        <v>132</v>
      </c>
      <c r="AM178">
        <v>2485000</v>
      </c>
      <c r="AN178">
        <v>0.1202</v>
      </c>
      <c r="AO178">
        <v>783</v>
      </c>
      <c r="AP178">
        <v>775</v>
      </c>
      <c r="AQ178" t="s">
        <v>127</v>
      </c>
      <c r="AR178" t="s">
        <v>185</v>
      </c>
      <c r="AS178">
        <v>1</v>
      </c>
      <c r="AT178">
        <v>2.4799999999999999E-2</v>
      </c>
      <c r="AU178">
        <v>0.44190000000000002</v>
      </c>
      <c r="AV178">
        <v>532274.97</v>
      </c>
      <c r="AW178">
        <v>5833.27</v>
      </c>
      <c r="AX178" t="b">
        <v>0</v>
      </c>
      <c r="AY178" t="b">
        <v>0</v>
      </c>
      <c r="AZ178" t="s">
        <v>80</v>
      </c>
      <c r="BA178">
        <v>0</v>
      </c>
      <c r="BB178">
        <v>0</v>
      </c>
      <c r="BC178">
        <v>0</v>
      </c>
      <c r="BD178">
        <v>0</v>
      </c>
      <c r="BE178" t="s">
        <v>134</v>
      </c>
      <c r="BF178" t="b">
        <v>1</v>
      </c>
    </row>
    <row r="179" spans="1:58" x14ac:dyDescent="0.3">
      <c r="A179" t="s">
        <v>529</v>
      </c>
      <c r="B179" t="s">
        <v>67</v>
      </c>
      <c r="C179" t="s">
        <v>530</v>
      </c>
      <c r="D179" t="s">
        <v>95</v>
      </c>
      <c r="E179" t="s">
        <v>96</v>
      </c>
      <c r="F179" t="s">
        <v>71</v>
      </c>
      <c r="G179" s="1">
        <v>44779</v>
      </c>
      <c r="H179" s="1">
        <v>45596</v>
      </c>
      <c r="I179" s="1">
        <v>46219</v>
      </c>
      <c r="J179">
        <v>1117600</v>
      </c>
      <c r="K179">
        <v>48</v>
      </c>
      <c r="L179">
        <v>22</v>
      </c>
      <c r="M179">
        <v>26</v>
      </c>
      <c r="N179">
        <v>13.38</v>
      </c>
      <c r="O179">
        <v>30193.62</v>
      </c>
      <c r="P179" t="s">
        <v>72</v>
      </c>
      <c r="Q179">
        <v>514245.84</v>
      </c>
      <c r="R179">
        <v>30193.62</v>
      </c>
      <c r="S179">
        <v>29905.46</v>
      </c>
      <c r="T179" s="1">
        <v>45565</v>
      </c>
      <c r="U179" t="s">
        <v>73</v>
      </c>
      <c r="V179">
        <v>0</v>
      </c>
      <c r="W179">
        <v>26</v>
      </c>
      <c r="X179">
        <v>26</v>
      </c>
      <c r="Y179">
        <v>0</v>
      </c>
      <c r="Z179">
        <v>0</v>
      </c>
      <c r="AA179">
        <v>0</v>
      </c>
      <c r="AB179" t="s">
        <v>164</v>
      </c>
      <c r="AC179" t="s">
        <v>279</v>
      </c>
      <c r="AD179">
        <v>2022</v>
      </c>
      <c r="AE179" t="s">
        <v>76</v>
      </c>
      <c r="AF179" t="b">
        <v>1</v>
      </c>
      <c r="AG179">
        <v>1597000</v>
      </c>
      <c r="AH179">
        <v>1157742.1200000001</v>
      </c>
      <c r="AI179">
        <v>0.69979999999999998</v>
      </c>
      <c r="AJ179">
        <v>0.46800000000000003</v>
      </c>
      <c r="AK179">
        <v>33</v>
      </c>
      <c r="AL179" t="s">
        <v>77</v>
      </c>
      <c r="AM179">
        <v>1418000</v>
      </c>
      <c r="AN179">
        <v>0.2555</v>
      </c>
      <c r="AO179">
        <v>660</v>
      </c>
      <c r="AP179">
        <v>650</v>
      </c>
      <c r="AQ179" t="s">
        <v>78</v>
      </c>
      <c r="AR179" t="s">
        <v>79</v>
      </c>
      <c r="AS179">
        <v>1</v>
      </c>
      <c r="AT179">
        <v>1.8499999999999999E-2</v>
      </c>
      <c r="AU179">
        <v>0.51200000000000001</v>
      </c>
      <c r="AV179">
        <v>518426.6</v>
      </c>
      <c r="AW179">
        <v>4910.54</v>
      </c>
      <c r="AX179" t="b">
        <v>0</v>
      </c>
      <c r="AY179" t="b">
        <v>0</v>
      </c>
      <c r="AZ179" t="s">
        <v>80</v>
      </c>
      <c r="BA179">
        <v>0</v>
      </c>
      <c r="BB179">
        <v>0</v>
      </c>
      <c r="BC179">
        <v>0</v>
      </c>
      <c r="BD179">
        <v>0</v>
      </c>
      <c r="BE179" t="s">
        <v>108</v>
      </c>
      <c r="BF179" t="b">
        <v>0</v>
      </c>
    </row>
    <row r="180" spans="1:58" x14ac:dyDescent="0.3">
      <c r="A180" t="s">
        <v>531</v>
      </c>
      <c r="B180" t="s">
        <v>67</v>
      </c>
      <c r="C180" t="s">
        <v>532</v>
      </c>
      <c r="D180" t="s">
        <v>84</v>
      </c>
      <c r="E180" t="s">
        <v>85</v>
      </c>
      <c r="F180" t="s">
        <v>71</v>
      </c>
      <c r="G180" s="1">
        <v>45135</v>
      </c>
      <c r="H180" s="1">
        <v>45596</v>
      </c>
      <c r="I180" s="1">
        <v>47655</v>
      </c>
      <c r="J180">
        <v>579800</v>
      </c>
      <c r="K180">
        <v>84</v>
      </c>
      <c r="L180">
        <v>69</v>
      </c>
      <c r="M180">
        <v>15</v>
      </c>
      <c r="N180">
        <v>12.17</v>
      </c>
      <c r="O180">
        <v>10287.84</v>
      </c>
      <c r="P180" t="s">
        <v>139</v>
      </c>
      <c r="Q180">
        <v>485759.29</v>
      </c>
      <c r="R180">
        <v>10287.84</v>
      </c>
      <c r="S180">
        <v>10647.35</v>
      </c>
      <c r="T180" s="1">
        <v>45591</v>
      </c>
      <c r="U180" t="s">
        <v>73</v>
      </c>
      <c r="V180">
        <v>0</v>
      </c>
      <c r="W180">
        <v>15</v>
      </c>
      <c r="X180">
        <v>15</v>
      </c>
      <c r="Y180">
        <v>0</v>
      </c>
      <c r="Z180">
        <v>0</v>
      </c>
      <c r="AA180">
        <v>0</v>
      </c>
      <c r="AB180" t="s">
        <v>111</v>
      </c>
      <c r="AC180" t="s">
        <v>228</v>
      </c>
      <c r="AD180">
        <v>2018</v>
      </c>
      <c r="AE180" t="s">
        <v>90</v>
      </c>
      <c r="AF180" t="b">
        <v>0</v>
      </c>
      <c r="AG180">
        <v>757000</v>
      </c>
      <c r="AH180">
        <v>679814.52</v>
      </c>
      <c r="AI180">
        <v>0.76590000000000003</v>
      </c>
      <c r="AJ180">
        <v>0.78249999999999997</v>
      </c>
      <c r="AK180">
        <v>51</v>
      </c>
      <c r="AL180" t="s">
        <v>106</v>
      </c>
      <c r="AM180">
        <v>3819000</v>
      </c>
      <c r="AN180">
        <v>3.2300000000000002E-2</v>
      </c>
      <c r="AO180">
        <v>660</v>
      </c>
      <c r="AP180">
        <v>627</v>
      </c>
      <c r="AQ180" t="s">
        <v>78</v>
      </c>
      <c r="AR180" t="s">
        <v>79</v>
      </c>
      <c r="AS180">
        <v>1</v>
      </c>
      <c r="AT180">
        <v>2.1000000000000001E-2</v>
      </c>
      <c r="AU180">
        <v>0.41660000000000003</v>
      </c>
      <c r="AV180">
        <v>508484.69</v>
      </c>
      <c r="AW180">
        <v>4448.53</v>
      </c>
      <c r="AX180" t="b">
        <v>0</v>
      </c>
      <c r="AY180" t="b">
        <v>0</v>
      </c>
      <c r="AZ180" t="s">
        <v>80</v>
      </c>
      <c r="BA180">
        <v>0</v>
      </c>
      <c r="BB180">
        <v>0</v>
      </c>
      <c r="BC180">
        <v>0</v>
      </c>
      <c r="BD180">
        <v>0</v>
      </c>
      <c r="BE180" t="s">
        <v>108</v>
      </c>
      <c r="BF180" t="b">
        <v>1</v>
      </c>
    </row>
    <row r="181" spans="1:58" x14ac:dyDescent="0.3">
      <c r="A181" t="s">
        <v>533</v>
      </c>
      <c r="B181" t="s">
        <v>67</v>
      </c>
      <c r="C181" t="s">
        <v>534</v>
      </c>
      <c r="D181" t="s">
        <v>95</v>
      </c>
      <c r="E181" t="s">
        <v>96</v>
      </c>
      <c r="F181" t="s">
        <v>124</v>
      </c>
      <c r="G181" s="1">
        <v>45004</v>
      </c>
      <c r="H181" s="1">
        <v>45596</v>
      </c>
      <c r="I181" s="1">
        <v>46804</v>
      </c>
      <c r="J181">
        <v>782600</v>
      </c>
      <c r="K181">
        <v>60</v>
      </c>
      <c r="L181">
        <v>41</v>
      </c>
      <c r="M181">
        <v>19</v>
      </c>
      <c r="N181">
        <v>10.28</v>
      </c>
      <c r="O181">
        <v>16735.96</v>
      </c>
      <c r="P181" t="s">
        <v>72</v>
      </c>
      <c r="Q181">
        <v>538731.11</v>
      </c>
      <c r="R181">
        <v>16735.96</v>
      </c>
      <c r="S181">
        <v>13209.87</v>
      </c>
      <c r="T181" s="1">
        <v>45592</v>
      </c>
      <c r="U181" t="s">
        <v>140</v>
      </c>
      <c r="V181">
        <v>306</v>
      </c>
      <c r="W181">
        <v>19</v>
      </c>
      <c r="X181">
        <v>14</v>
      </c>
      <c r="Y181">
        <v>3</v>
      </c>
      <c r="Z181">
        <v>1</v>
      </c>
      <c r="AA181">
        <v>0</v>
      </c>
      <c r="AB181" t="s">
        <v>125</v>
      </c>
      <c r="AC181" t="s">
        <v>144</v>
      </c>
      <c r="AD181">
        <v>2023</v>
      </c>
      <c r="AE181" t="s">
        <v>90</v>
      </c>
      <c r="AF181" t="b">
        <v>1</v>
      </c>
      <c r="AG181">
        <v>1263000</v>
      </c>
      <c r="AH181">
        <v>1059503.95</v>
      </c>
      <c r="AI181">
        <v>0.61960000000000004</v>
      </c>
      <c r="AJ181">
        <v>0.55249999999999999</v>
      </c>
      <c r="AK181">
        <v>46</v>
      </c>
      <c r="AL181" t="s">
        <v>120</v>
      </c>
      <c r="AM181">
        <v>2052000</v>
      </c>
      <c r="AN181">
        <v>9.7900000000000001E-2</v>
      </c>
      <c r="AO181">
        <v>722</v>
      </c>
      <c r="AP181">
        <v>716</v>
      </c>
      <c r="AQ181" t="s">
        <v>91</v>
      </c>
      <c r="AR181" t="s">
        <v>192</v>
      </c>
      <c r="AS181">
        <v>3</v>
      </c>
      <c r="AT181">
        <v>0.66620000000000001</v>
      </c>
      <c r="AU181">
        <v>0.5262</v>
      </c>
      <c r="AV181">
        <v>541049.75</v>
      </c>
      <c r="AW181">
        <v>189667.39</v>
      </c>
      <c r="AX181" t="b">
        <v>0</v>
      </c>
      <c r="AY181" t="b">
        <v>0</v>
      </c>
      <c r="AZ181" t="s">
        <v>80</v>
      </c>
      <c r="BA181">
        <v>0</v>
      </c>
      <c r="BB181">
        <v>0</v>
      </c>
      <c r="BC181">
        <v>0</v>
      </c>
      <c r="BD181">
        <v>0</v>
      </c>
      <c r="BE181" t="s">
        <v>108</v>
      </c>
      <c r="BF181" t="b">
        <v>1</v>
      </c>
    </row>
    <row r="182" spans="1:58" x14ac:dyDescent="0.3">
      <c r="A182" t="s">
        <v>535</v>
      </c>
      <c r="B182" t="s">
        <v>67</v>
      </c>
      <c r="C182" t="s">
        <v>536</v>
      </c>
      <c r="D182" t="s">
        <v>95</v>
      </c>
      <c r="E182" t="s">
        <v>96</v>
      </c>
      <c r="F182" t="s">
        <v>124</v>
      </c>
      <c r="G182" s="1">
        <v>45406</v>
      </c>
      <c r="H182" s="1">
        <v>45596</v>
      </c>
      <c r="I182" s="1">
        <v>46846</v>
      </c>
      <c r="J182">
        <v>648600</v>
      </c>
      <c r="K182">
        <v>48</v>
      </c>
      <c r="L182">
        <v>42</v>
      </c>
      <c r="M182">
        <v>6</v>
      </c>
      <c r="N182">
        <v>8.8000000000000007</v>
      </c>
      <c r="O182">
        <v>16078.91</v>
      </c>
      <c r="P182" t="s">
        <v>116</v>
      </c>
      <c r="Q182">
        <v>543272.06000000006</v>
      </c>
      <c r="R182">
        <v>16078.91</v>
      </c>
      <c r="S182">
        <v>16237.92</v>
      </c>
      <c r="T182" s="1">
        <v>45573</v>
      </c>
      <c r="U182" t="s">
        <v>73</v>
      </c>
      <c r="V182">
        <v>0</v>
      </c>
      <c r="W182">
        <v>6</v>
      </c>
      <c r="X182">
        <v>6</v>
      </c>
      <c r="Y182">
        <v>0</v>
      </c>
      <c r="Z182">
        <v>0</v>
      </c>
      <c r="AA182">
        <v>0</v>
      </c>
      <c r="AB182" t="s">
        <v>174</v>
      </c>
      <c r="AC182" t="s">
        <v>305</v>
      </c>
      <c r="AD182">
        <v>2021</v>
      </c>
      <c r="AE182" t="s">
        <v>166</v>
      </c>
      <c r="AF182" t="b">
        <v>0</v>
      </c>
      <c r="AG182">
        <v>812000</v>
      </c>
      <c r="AH182">
        <v>765753.2</v>
      </c>
      <c r="AI182">
        <v>0.79879999999999995</v>
      </c>
      <c r="AJ182">
        <v>0.72099999999999997</v>
      </c>
      <c r="AK182">
        <v>53</v>
      </c>
      <c r="AL182" t="s">
        <v>132</v>
      </c>
      <c r="AM182">
        <v>1185000</v>
      </c>
      <c r="AN182">
        <v>0.1628</v>
      </c>
      <c r="AO182">
        <v>799</v>
      </c>
      <c r="AP182">
        <v>787</v>
      </c>
      <c r="AQ182" t="s">
        <v>127</v>
      </c>
      <c r="AR182" t="s">
        <v>215</v>
      </c>
      <c r="AS182">
        <v>1</v>
      </c>
      <c r="AT182">
        <v>1.6199999999999999E-2</v>
      </c>
      <c r="AU182">
        <v>0.622</v>
      </c>
      <c r="AV182">
        <v>560786.77</v>
      </c>
      <c r="AW182">
        <v>5650.71</v>
      </c>
      <c r="AX182" t="b">
        <v>0</v>
      </c>
      <c r="AY182" t="b">
        <v>0</v>
      </c>
      <c r="AZ182" t="s">
        <v>80</v>
      </c>
      <c r="BA182">
        <v>0</v>
      </c>
      <c r="BB182">
        <v>0</v>
      </c>
      <c r="BC182">
        <v>0</v>
      </c>
      <c r="BD182">
        <v>36887.51</v>
      </c>
      <c r="BE182" t="s">
        <v>81</v>
      </c>
      <c r="BF182" t="b">
        <v>1</v>
      </c>
    </row>
    <row r="183" spans="1:58" x14ac:dyDescent="0.3">
      <c r="A183" t="s">
        <v>537</v>
      </c>
      <c r="B183" t="s">
        <v>67</v>
      </c>
      <c r="C183" t="s">
        <v>538</v>
      </c>
      <c r="D183" t="s">
        <v>84</v>
      </c>
      <c r="E183" t="s">
        <v>85</v>
      </c>
      <c r="F183" t="s">
        <v>115</v>
      </c>
      <c r="G183" s="1">
        <v>45355</v>
      </c>
      <c r="H183" s="1">
        <v>45596</v>
      </c>
      <c r="I183" s="1">
        <v>47155</v>
      </c>
      <c r="J183">
        <v>3040300</v>
      </c>
      <c r="K183">
        <v>60</v>
      </c>
      <c r="L183">
        <v>53</v>
      </c>
      <c r="M183">
        <v>7</v>
      </c>
      <c r="N183">
        <v>11.09</v>
      </c>
      <c r="O183">
        <v>66240.03</v>
      </c>
      <c r="P183" t="s">
        <v>72</v>
      </c>
      <c r="Q183">
        <v>2648777.58</v>
      </c>
      <c r="R183">
        <v>66240.03</v>
      </c>
      <c r="S183">
        <v>66529.58</v>
      </c>
      <c r="T183" s="1">
        <v>45576</v>
      </c>
      <c r="U183" t="s">
        <v>73</v>
      </c>
      <c r="V183">
        <v>0</v>
      </c>
      <c r="W183">
        <v>7</v>
      </c>
      <c r="X183">
        <v>7</v>
      </c>
      <c r="Y183">
        <v>0</v>
      </c>
      <c r="Z183">
        <v>0</v>
      </c>
      <c r="AA183">
        <v>0</v>
      </c>
      <c r="AB183" t="s">
        <v>174</v>
      </c>
      <c r="AC183" t="s">
        <v>423</v>
      </c>
      <c r="AD183">
        <v>2024</v>
      </c>
      <c r="AE183" t="s">
        <v>166</v>
      </c>
      <c r="AF183" t="b">
        <v>1</v>
      </c>
      <c r="AG183">
        <v>3430000</v>
      </c>
      <c r="AH183">
        <v>3347247.1</v>
      </c>
      <c r="AI183">
        <v>0.88639999999999997</v>
      </c>
      <c r="AJ183">
        <v>0.84309999999999996</v>
      </c>
      <c r="AK183">
        <v>38</v>
      </c>
      <c r="AL183" t="s">
        <v>77</v>
      </c>
      <c r="AM183">
        <v>3034000</v>
      </c>
      <c r="AN183">
        <v>0.26200000000000001</v>
      </c>
      <c r="AO183">
        <v>687</v>
      </c>
      <c r="AP183">
        <v>677</v>
      </c>
      <c r="AQ183" t="s">
        <v>127</v>
      </c>
      <c r="AR183" t="s">
        <v>153</v>
      </c>
      <c r="AS183">
        <v>1</v>
      </c>
      <c r="AT183">
        <v>2.0199999999999999E-2</v>
      </c>
      <c r="AU183">
        <v>0.57989999999999997</v>
      </c>
      <c r="AV183">
        <v>2673046.67</v>
      </c>
      <c r="AW183">
        <v>31312.02</v>
      </c>
      <c r="AX183" t="b">
        <v>0</v>
      </c>
      <c r="AY183" t="b">
        <v>0</v>
      </c>
      <c r="AZ183" t="s">
        <v>80</v>
      </c>
      <c r="BA183">
        <v>0</v>
      </c>
      <c r="BB183">
        <v>0</v>
      </c>
      <c r="BC183">
        <v>0</v>
      </c>
      <c r="BD183">
        <v>0</v>
      </c>
      <c r="BE183" t="s">
        <v>108</v>
      </c>
      <c r="BF183" t="b">
        <v>0</v>
      </c>
    </row>
    <row r="184" spans="1:58" x14ac:dyDescent="0.3">
      <c r="A184" t="s">
        <v>539</v>
      </c>
      <c r="B184" t="s">
        <v>67</v>
      </c>
      <c r="C184" t="s">
        <v>540</v>
      </c>
      <c r="D184" t="s">
        <v>84</v>
      </c>
      <c r="E184" t="s">
        <v>85</v>
      </c>
      <c r="F184" t="s">
        <v>115</v>
      </c>
      <c r="G184" s="1">
        <v>44813</v>
      </c>
      <c r="H184" s="1">
        <v>45596</v>
      </c>
      <c r="I184" s="1">
        <v>46253</v>
      </c>
      <c r="J184">
        <v>850400</v>
      </c>
      <c r="K184">
        <v>48</v>
      </c>
      <c r="L184">
        <v>23</v>
      </c>
      <c r="M184">
        <v>25</v>
      </c>
      <c r="N184">
        <v>7.59</v>
      </c>
      <c r="O184">
        <v>20597.47</v>
      </c>
      <c r="P184" t="s">
        <v>72</v>
      </c>
      <c r="Q184">
        <v>398406.89</v>
      </c>
      <c r="R184">
        <v>20597.47</v>
      </c>
      <c r="S184">
        <v>20209.36</v>
      </c>
      <c r="T184" s="1">
        <v>45573</v>
      </c>
      <c r="U184" t="s">
        <v>73</v>
      </c>
      <c r="V184">
        <v>0</v>
      </c>
      <c r="W184">
        <v>25</v>
      </c>
      <c r="X184">
        <v>25</v>
      </c>
      <c r="Y184">
        <v>0</v>
      </c>
      <c r="Z184">
        <v>0</v>
      </c>
      <c r="AA184">
        <v>0</v>
      </c>
      <c r="AB184" t="s">
        <v>88</v>
      </c>
      <c r="AC184" t="s">
        <v>181</v>
      </c>
      <c r="AD184">
        <v>2022</v>
      </c>
      <c r="AE184" t="s">
        <v>119</v>
      </c>
      <c r="AF184" t="b">
        <v>1</v>
      </c>
      <c r="AG184">
        <v>1059000</v>
      </c>
      <c r="AH184">
        <v>687780.21</v>
      </c>
      <c r="AI184">
        <v>0.80300000000000005</v>
      </c>
      <c r="AJ184">
        <v>0.53739999999999999</v>
      </c>
      <c r="AK184">
        <v>55</v>
      </c>
      <c r="AL184" t="s">
        <v>120</v>
      </c>
      <c r="AM184">
        <v>1899000</v>
      </c>
      <c r="AN184">
        <v>0.13020000000000001</v>
      </c>
      <c r="AO184">
        <v>691</v>
      </c>
      <c r="AP184">
        <v>654</v>
      </c>
      <c r="AQ184" t="s">
        <v>100</v>
      </c>
      <c r="AR184" t="s">
        <v>229</v>
      </c>
      <c r="AS184">
        <v>1</v>
      </c>
      <c r="AT184">
        <v>1.9E-2</v>
      </c>
      <c r="AU184">
        <v>0.62480000000000002</v>
      </c>
      <c r="AV184">
        <v>400728.92</v>
      </c>
      <c r="AW184">
        <v>4757.13</v>
      </c>
      <c r="AX184" t="b">
        <v>0</v>
      </c>
      <c r="AY184" t="b">
        <v>0</v>
      </c>
      <c r="AZ184" t="s">
        <v>80</v>
      </c>
      <c r="BA184">
        <v>0</v>
      </c>
      <c r="BB184">
        <v>0</v>
      </c>
      <c r="BC184">
        <v>0</v>
      </c>
      <c r="BD184">
        <v>0</v>
      </c>
      <c r="BE184" t="s">
        <v>134</v>
      </c>
      <c r="BF184" t="b">
        <v>1</v>
      </c>
    </row>
    <row r="185" spans="1:58" x14ac:dyDescent="0.3">
      <c r="A185" t="s">
        <v>541</v>
      </c>
      <c r="B185" t="s">
        <v>67</v>
      </c>
      <c r="C185" t="s">
        <v>542</v>
      </c>
      <c r="D185" t="s">
        <v>84</v>
      </c>
      <c r="E185" t="s">
        <v>85</v>
      </c>
      <c r="F185" t="s">
        <v>115</v>
      </c>
      <c r="G185" s="1">
        <v>45102</v>
      </c>
      <c r="H185" s="1">
        <v>45596</v>
      </c>
      <c r="I185" s="1">
        <v>46542</v>
      </c>
      <c r="J185">
        <v>777100</v>
      </c>
      <c r="K185">
        <v>48</v>
      </c>
      <c r="L185">
        <v>32</v>
      </c>
      <c r="M185">
        <v>16</v>
      </c>
      <c r="N185">
        <v>8.4</v>
      </c>
      <c r="O185">
        <v>19117.53</v>
      </c>
      <c r="P185" t="s">
        <v>72</v>
      </c>
      <c r="Q185">
        <v>520209.72</v>
      </c>
      <c r="R185">
        <v>19117.53</v>
      </c>
      <c r="S185">
        <v>19657.349999999999</v>
      </c>
      <c r="T185" s="1">
        <v>45583</v>
      </c>
      <c r="U185" t="s">
        <v>73</v>
      </c>
      <c r="V185">
        <v>0</v>
      </c>
      <c r="W185">
        <v>16</v>
      </c>
      <c r="X185">
        <v>16</v>
      </c>
      <c r="Y185">
        <v>0</v>
      </c>
      <c r="Z185">
        <v>0</v>
      </c>
      <c r="AA185">
        <v>0</v>
      </c>
      <c r="AB185" t="s">
        <v>104</v>
      </c>
      <c r="AC185" t="s">
        <v>156</v>
      </c>
      <c r="AD185">
        <v>2023</v>
      </c>
      <c r="AE185" t="s">
        <v>119</v>
      </c>
      <c r="AF185" t="b">
        <v>1</v>
      </c>
      <c r="AG185">
        <v>878000</v>
      </c>
      <c r="AH185">
        <v>721853.54</v>
      </c>
      <c r="AI185">
        <v>0.8851</v>
      </c>
      <c r="AJ185">
        <v>0.73329999999999995</v>
      </c>
      <c r="AK185">
        <v>37</v>
      </c>
      <c r="AL185" t="s">
        <v>106</v>
      </c>
      <c r="AM185">
        <v>1173000</v>
      </c>
      <c r="AN185">
        <v>0.1956</v>
      </c>
      <c r="AO185">
        <v>670</v>
      </c>
      <c r="AP185">
        <v>674</v>
      </c>
      <c r="AQ185" t="s">
        <v>145</v>
      </c>
      <c r="AR185" t="s">
        <v>146</v>
      </c>
      <c r="AS185">
        <v>1</v>
      </c>
      <c r="AT185">
        <v>1.9599999999999999E-2</v>
      </c>
      <c r="AU185">
        <v>0.62260000000000004</v>
      </c>
      <c r="AV185">
        <v>521335.49</v>
      </c>
      <c r="AW185">
        <v>6361.84</v>
      </c>
      <c r="AX185" t="b">
        <v>0</v>
      </c>
      <c r="AY185" t="b">
        <v>0</v>
      </c>
      <c r="AZ185" t="s">
        <v>80</v>
      </c>
      <c r="BA185">
        <v>0</v>
      </c>
      <c r="BB185">
        <v>0</v>
      </c>
      <c r="BC185">
        <v>0</v>
      </c>
      <c r="BD185">
        <v>0</v>
      </c>
      <c r="BE185" t="s">
        <v>81</v>
      </c>
      <c r="BF185" t="b">
        <v>1</v>
      </c>
    </row>
    <row r="186" spans="1:58" x14ac:dyDescent="0.3">
      <c r="A186" t="s">
        <v>543</v>
      </c>
      <c r="B186" t="s">
        <v>67</v>
      </c>
      <c r="C186" t="s">
        <v>544</v>
      </c>
      <c r="D186" t="s">
        <v>69</v>
      </c>
      <c r="E186" t="s">
        <v>70</v>
      </c>
      <c r="F186" t="s">
        <v>71</v>
      </c>
      <c r="G186" s="1">
        <v>44606</v>
      </c>
      <c r="H186" s="1">
        <v>45596</v>
      </c>
      <c r="I186" s="1">
        <v>46406</v>
      </c>
      <c r="J186">
        <v>408200</v>
      </c>
      <c r="K186">
        <v>60</v>
      </c>
      <c r="L186">
        <v>28</v>
      </c>
      <c r="M186">
        <v>32</v>
      </c>
      <c r="N186">
        <v>14.14</v>
      </c>
      <c r="O186">
        <v>9527.75</v>
      </c>
      <c r="P186" t="s">
        <v>72</v>
      </c>
      <c r="Q186">
        <v>181383.08</v>
      </c>
      <c r="R186">
        <v>9527.75</v>
      </c>
      <c r="S186">
        <v>9963.8799999999992</v>
      </c>
      <c r="T186" s="1">
        <v>45585</v>
      </c>
      <c r="U186" t="s">
        <v>73</v>
      </c>
      <c r="V186">
        <v>0</v>
      </c>
      <c r="W186">
        <v>32</v>
      </c>
      <c r="X186">
        <v>32</v>
      </c>
      <c r="Y186">
        <v>0</v>
      </c>
      <c r="Z186">
        <v>0</v>
      </c>
      <c r="AA186">
        <v>0</v>
      </c>
      <c r="AB186" t="s">
        <v>208</v>
      </c>
      <c r="AC186" t="s">
        <v>405</v>
      </c>
      <c r="AD186">
        <v>2022</v>
      </c>
      <c r="AE186" t="s">
        <v>99</v>
      </c>
      <c r="AF186" t="b">
        <v>1</v>
      </c>
      <c r="AG186">
        <v>474000</v>
      </c>
      <c r="AH186">
        <v>311531.87</v>
      </c>
      <c r="AI186">
        <v>0.86119999999999997</v>
      </c>
      <c r="AJ186">
        <v>0.62119999999999997</v>
      </c>
      <c r="AK186">
        <v>56</v>
      </c>
      <c r="AL186" t="s">
        <v>77</v>
      </c>
      <c r="AM186">
        <v>2673000</v>
      </c>
      <c r="AN186">
        <v>4.2799999999999998E-2</v>
      </c>
      <c r="AO186">
        <v>667</v>
      </c>
      <c r="AP186">
        <v>629</v>
      </c>
      <c r="AQ186" t="s">
        <v>78</v>
      </c>
      <c r="AR186" t="s">
        <v>79</v>
      </c>
      <c r="AS186">
        <v>1</v>
      </c>
      <c r="AT186">
        <v>2.5000000000000001E-2</v>
      </c>
      <c r="AU186">
        <v>0.60540000000000005</v>
      </c>
      <c r="AV186">
        <v>185688.35</v>
      </c>
      <c r="AW186">
        <v>2810.39</v>
      </c>
      <c r="AX186" t="b">
        <v>0</v>
      </c>
      <c r="AY186" t="b">
        <v>0</v>
      </c>
      <c r="AZ186" t="s">
        <v>80</v>
      </c>
      <c r="BA186">
        <v>0</v>
      </c>
      <c r="BB186">
        <v>0</v>
      </c>
      <c r="BC186">
        <v>0</v>
      </c>
      <c r="BD186">
        <v>0</v>
      </c>
      <c r="BE186" t="s">
        <v>108</v>
      </c>
      <c r="BF186" t="b">
        <v>1</v>
      </c>
    </row>
    <row r="187" spans="1:58" x14ac:dyDescent="0.3">
      <c r="A187" t="s">
        <v>545</v>
      </c>
      <c r="B187" t="s">
        <v>67</v>
      </c>
      <c r="C187" t="s">
        <v>546</v>
      </c>
      <c r="D187" t="s">
        <v>95</v>
      </c>
      <c r="E187" t="s">
        <v>96</v>
      </c>
      <c r="F187" t="s">
        <v>124</v>
      </c>
      <c r="G187" s="1">
        <v>44974</v>
      </c>
      <c r="H187" s="1">
        <v>45596</v>
      </c>
      <c r="I187" s="1">
        <v>46054</v>
      </c>
      <c r="J187">
        <v>1043800</v>
      </c>
      <c r="K187">
        <v>36</v>
      </c>
      <c r="L187">
        <v>16</v>
      </c>
      <c r="M187">
        <v>20</v>
      </c>
      <c r="N187">
        <v>10.76</v>
      </c>
      <c r="O187">
        <v>34054.160000000003</v>
      </c>
      <c r="P187" t="s">
        <v>72</v>
      </c>
      <c r="Q187">
        <v>453686.11</v>
      </c>
      <c r="R187">
        <v>34054.160000000003</v>
      </c>
      <c r="S187">
        <v>32394.99</v>
      </c>
      <c r="T187" s="1">
        <v>45565</v>
      </c>
      <c r="U187" t="s">
        <v>73</v>
      </c>
      <c r="V187">
        <v>0</v>
      </c>
      <c r="W187">
        <v>20</v>
      </c>
      <c r="X187">
        <v>20</v>
      </c>
      <c r="Y187">
        <v>0</v>
      </c>
      <c r="Z187">
        <v>0</v>
      </c>
      <c r="AA187">
        <v>0</v>
      </c>
      <c r="AB187" t="s">
        <v>174</v>
      </c>
      <c r="AC187" t="s">
        <v>305</v>
      </c>
      <c r="AD187">
        <v>2023</v>
      </c>
      <c r="AE187" t="s">
        <v>166</v>
      </c>
      <c r="AF187" t="b">
        <v>1</v>
      </c>
      <c r="AG187">
        <v>1105000</v>
      </c>
      <c r="AH187">
        <v>868705.16</v>
      </c>
      <c r="AI187">
        <v>0.9446</v>
      </c>
      <c r="AJ187">
        <v>0.54020000000000001</v>
      </c>
      <c r="AK187">
        <v>46</v>
      </c>
      <c r="AL187" t="s">
        <v>106</v>
      </c>
      <c r="AM187">
        <v>779000</v>
      </c>
      <c r="AN187">
        <v>0.52459999999999996</v>
      </c>
      <c r="AO187">
        <v>733</v>
      </c>
      <c r="AP187">
        <v>746</v>
      </c>
      <c r="AQ187" t="s">
        <v>145</v>
      </c>
      <c r="AR187" t="s">
        <v>182</v>
      </c>
      <c r="AS187">
        <v>1</v>
      </c>
      <c r="AT187">
        <v>1.6299999999999999E-2</v>
      </c>
      <c r="AU187">
        <v>0.37090000000000001</v>
      </c>
      <c r="AV187">
        <v>472764.93</v>
      </c>
      <c r="AW187">
        <v>2858.18</v>
      </c>
      <c r="AX187" t="b">
        <v>0</v>
      </c>
      <c r="AY187" t="b">
        <v>0</v>
      </c>
      <c r="AZ187" t="s">
        <v>80</v>
      </c>
      <c r="BA187">
        <v>0</v>
      </c>
      <c r="BB187">
        <v>0</v>
      </c>
      <c r="BC187">
        <v>0</v>
      </c>
      <c r="BD187">
        <v>0</v>
      </c>
      <c r="BE187" t="s">
        <v>81</v>
      </c>
      <c r="BF187" t="b">
        <v>1</v>
      </c>
    </row>
    <row r="188" spans="1:58" x14ac:dyDescent="0.3">
      <c r="A188" t="s">
        <v>547</v>
      </c>
      <c r="B188" t="s">
        <v>67</v>
      </c>
      <c r="C188" t="s">
        <v>548</v>
      </c>
      <c r="D188" t="s">
        <v>84</v>
      </c>
      <c r="E188" t="s">
        <v>85</v>
      </c>
      <c r="F188" t="s">
        <v>124</v>
      </c>
      <c r="G188" s="1">
        <v>45008</v>
      </c>
      <c r="H188" s="1">
        <v>45596</v>
      </c>
      <c r="I188" s="1">
        <v>47528</v>
      </c>
      <c r="J188">
        <v>332900</v>
      </c>
      <c r="K188">
        <v>84</v>
      </c>
      <c r="L188">
        <v>65</v>
      </c>
      <c r="M188">
        <v>19</v>
      </c>
      <c r="N188">
        <v>14.34</v>
      </c>
      <c r="O188">
        <v>6301.24</v>
      </c>
      <c r="P188" t="s">
        <v>72</v>
      </c>
      <c r="Q188">
        <v>260490.14</v>
      </c>
      <c r="R188">
        <v>6301.24</v>
      </c>
      <c r="S188">
        <v>3871.48</v>
      </c>
      <c r="T188" s="1">
        <v>45590</v>
      </c>
      <c r="U188" t="s">
        <v>87</v>
      </c>
      <c r="V188">
        <v>24</v>
      </c>
      <c r="W188">
        <v>19</v>
      </c>
      <c r="X188">
        <v>18</v>
      </c>
      <c r="Y188">
        <v>2</v>
      </c>
      <c r="Z188">
        <v>0</v>
      </c>
      <c r="AA188">
        <v>0</v>
      </c>
      <c r="AB188" t="s">
        <v>164</v>
      </c>
      <c r="AC188" t="s">
        <v>426</v>
      </c>
      <c r="AD188">
        <v>2023</v>
      </c>
      <c r="AE188" t="s">
        <v>99</v>
      </c>
      <c r="AF188" t="b">
        <v>1</v>
      </c>
      <c r="AG188">
        <v>451000</v>
      </c>
      <c r="AH188">
        <v>321863.43</v>
      </c>
      <c r="AI188">
        <v>0.73819999999999997</v>
      </c>
      <c r="AJ188">
        <v>0.74819999999999998</v>
      </c>
      <c r="AK188">
        <v>27</v>
      </c>
      <c r="AL188" t="s">
        <v>106</v>
      </c>
      <c r="AM188">
        <v>2090000</v>
      </c>
      <c r="AN188">
        <v>3.6200000000000003E-2</v>
      </c>
      <c r="AO188">
        <v>802</v>
      </c>
      <c r="AP188">
        <v>803</v>
      </c>
      <c r="AQ188" t="s">
        <v>145</v>
      </c>
      <c r="AR188" t="s">
        <v>176</v>
      </c>
      <c r="AS188">
        <v>1</v>
      </c>
      <c r="AT188">
        <v>1.83E-2</v>
      </c>
      <c r="AU188">
        <v>0.55000000000000004</v>
      </c>
      <c r="AV188">
        <v>272865.23</v>
      </c>
      <c r="AW188">
        <v>2746.39</v>
      </c>
      <c r="AX188" t="b">
        <v>0</v>
      </c>
      <c r="AY188" t="b">
        <v>0</v>
      </c>
      <c r="AZ188" t="s">
        <v>80</v>
      </c>
      <c r="BA188">
        <v>0</v>
      </c>
      <c r="BB188">
        <v>0</v>
      </c>
      <c r="BC188">
        <v>0</v>
      </c>
      <c r="BD188">
        <v>0</v>
      </c>
      <c r="BE188" t="s">
        <v>81</v>
      </c>
      <c r="BF188" t="b">
        <v>1</v>
      </c>
    </row>
    <row r="189" spans="1:58" x14ac:dyDescent="0.3">
      <c r="A189" t="s">
        <v>549</v>
      </c>
      <c r="B189" t="s">
        <v>67</v>
      </c>
      <c r="C189" t="s">
        <v>550</v>
      </c>
      <c r="D189" t="s">
        <v>84</v>
      </c>
      <c r="E189" t="s">
        <v>85</v>
      </c>
      <c r="F189" t="s">
        <v>115</v>
      </c>
      <c r="G189" s="1">
        <v>45199</v>
      </c>
      <c r="H189" s="1">
        <v>45596</v>
      </c>
      <c r="I189" s="1">
        <v>46279</v>
      </c>
      <c r="J189">
        <v>551000</v>
      </c>
      <c r="K189">
        <v>36</v>
      </c>
      <c r="L189">
        <v>23</v>
      </c>
      <c r="M189">
        <v>13</v>
      </c>
      <c r="N189">
        <v>10.99</v>
      </c>
      <c r="O189">
        <v>18036.419999999998</v>
      </c>
      <c r="P189" t="s">
        <v>72</v>
      </c>
      <c r="Q189">
        <v>318237.45</v>
      </c>
      <c r="R189">
        <v>18036.419999999998</v>
      </c>
      <c r="S189">
        <v>12306.24</v>
      </c>
      <c r="T189" s="1">
        <v>45568</v>
      </c>
      <c r="U189" t="s">
        <v>87</v>
      </c>
      <c r="V189">
        <v>7</v>
      </c>
      <c r="W189">
        <v>13</v>
      </c>
      <c r="X189">
        <v>12</v>
      </c>
      <c r="Y189">
        <v>2</v>
      </c>
      <c r="Z189">
        <v>0</v>
      </c>
      <c r="AA189">
        <v>0</v>
      </c>
      <c r="AB189" t="s">
        <v>164</v>
      </c>
      <c r="AC189" t="s">
        <v>279</v>
      </c>
      <c r="AD189">
        <v>2023</v>
      </c>
      <c r="AE189" t="s">
        <v>76</v>
      </c>
      <c r="AF189" t="b">
        <v>1</v>
      </c>
      <c r="AG189">
        <v>642000</v>
      </c>
      <c r="AH189">
        <v>537475.96</v>
      </c>
      <c r="AI189">
        <v>0.85819999999999996</v>
      </c>
      <c r="AJ189">
        <v>0.58730000000000004</v>
      </c>
      <c r="AK189">
        <v>47</v>
      </c>
      <c r="AL189" t="s">
        <v>106</v>
      </c>
      <c r="AM189">
        <v>3337000</v>
      </c>
      <c r="AN189">
        <v>6.4899999999999999E-2</v>
      </c>
      <c r="AO189">
        <v>674</v>
      </c>
      <c r="AP189">
        <v>633</v>
      </c>
      <c r="AQ189" t="s">
        <v>78</v>
      </c>
      <c r="AR189" t="s">
        <v>133</v>
      </c>
      <c r="AS189">
        <v>1</v>
      </c>
      <c r="AT189">
        <v>2.5399999999999999E-2</v>
      </c>
      <c r="AU189">
        <v>0.35949999999999999</v>
      </c>
      <c r="AV189">
        <v>325086.02</v>
      </c>
      <c r="AW189">
        <v>2968.46</v>
      </c>
      <c r="AX189" t="b">
        <v>0</v>
      </c>
      <c r="AY189" t="b">
        <v>0</v>
      </c>
      <c r="AZ189" t="s">
        <v>80</v>
      </c>
      <c r="BA189">
        <v>0</v>
      </c>
      <c r="BB189">
        <v>0</v>
      </c>
      <c r="BC189">
        <v>0</v>
      </c>
      <c r="BD189">
        <v>0</v>
      </c>
      <c r="BE189" t="s">
        <v>134</v>
      </c>
      <c r="BF189" t="b">
        <v>1</v>
      </c>
    </row>
    <row r="190" spans="1:58" x14ac:dyDescent="0.3">
      <c r="A190" t="s">
        <v>551</v>
      </c>
      <c r="B190" t="s">
        <v>67</v>
      </c>
      <c r="C190" t="s">
        <v>552</v>
      </c>
      <c r="D190" t="s">
        <v>95</v>
      </c>
      <c r="E190" t="s">
        <v>96</v>
      </c>
      <c r="F190" t="s">
        <v>86</v>
      </c>
      <c r="G190" s="1">
        <v>44264</v>
      </c>
      <c r="H190" s="1">
        <v>45596</v>
      </c>
      <c r="I190" s="1">
        <v>46424</v>
      </c>
      <c r="J190">
        <v>2096600</v>
      </c>
      <c r="K190">
        <v>72</v>
      </c>
      <c r="L190">
        <v>29</v>
      </c>
      <c r="M190">
        <v>43</v>
      </c>
      <c r="N190">
        <v>8.44</v>
      </c>
      <c r="O190">
        <v>37212.26</v>
      </c>
      <c r="P190" t="s">
        <v>72</v>
      </c>
      <c r="Q190">
        <v>850677.86</v>
      </c>
      <c r="R190">
        <v>37212.26</v>
      </c>
      <c r="S190">
        <v>36649.9</v>
      </c>
      <c r="T190" s="1">
        <v>45595</v>
      </c>
      <c r="U190" t="s">
        <v>73</v>
      </c>
      <c r="V190">
        <v>0</v>
      </c>
      <c r="W190">
        <v>43</v>
      </c>
      <c r="X190">
        <v>43</v>
      </c>
      <c r="Y190">
        <v>0</v>
      </c>
      <c r="Z190">
        <v>0</v>
      </c>
      <c r="AA190">
        <v>0</v>
      </c>
      <c r="AB190" t="s">
        <v>208</v>
      </c>
      <c r="AC190" t="s">
        <v>364</v>
      </c>
      <c r="AD190">
        <v>2021</v>
      </c>
      <c r="AE190" t="s">
        <v>119</v>
      </c>
      <c r="AF190" t="b">
        <v>1</v>
      </c>
      <c r="AG190">
        <v>3189000</v>
      </c>
      <c r="AH190">
        <v>1625340.12</v>
      </c>
      <c r="AI190">
        <v>0.65749999999999997</v>
      </c>
      <c r="AJ190">
        <v>0.55110000000000003</v>
      </c>
      <c r="AK190">
        <v>32</v>
      </c>
      <c r="AL190" t="s">
        <v>120</v>
      </c>
      <c r="AM190">
        <v>3402000</v>
      </c>
      <c r="AN190">
        <v>0.1313</v>
      </c>
      <c r="AO190">
        <v>825</v>
      </c>
      <c r="AP190">
        <v>844</v>
      </c>
      <c r="AQ190" t="s">
        <v>78</v>
      </c>
      <c r="AR190" t="s">
        <v>133</v>
      </c>
      <c r="AS190">
        <v>1</v>
      </c>
      <c r="AT190">
        <v>2.3199999999999998E-2</v>
      </c>
      <c r="AU190">
        <v>0.43530000000000002</v>
      </c>
      <c r="AV190">
        <v>853290.46</v>
      </c>
      <c r="AW190">
        <v>8617.35</v>
      </c>
      <c r="AX190" t="b">
        <v>0</v>
      </c>
      <c r="AY190" t="b">
        <v>0</v>
      </c>
      <c r="AZ190" t="s">
        <v>80</v>
      </c>
      <c r="BA190">
        <v>0</v>
      </c>
      <c r="BB190">
        <v>0</v>
      </c>
      <c r="BC190">
        <v>0</v>
      </c>
      <c r="BD190">
        <v>0</v>
      </c>
      <c r="BE190" t="s">
        <v>134</v>
      </c>
      <c r="BF190" t="b">
        <v>1</v>
      </c>
    </row>
    <row r="191" spans="1:58" x14ac:dyDescent="0.3">
      <c r="A191" t="s">
        <v>553</v>
      </c>
      <c r="B191" t="s">
        <v>67</v>
      </c>
      <c r="C191" t="s">
        <v>554</v>
      </c>
      <c r="D191" t="s">
        <v>95</v>
      </c>
      <c r="E191" t="s">
        <v>96</v>
      </c>
      <c r="F191" t="s">
        <v>124</v>
      </c>
      <c r="G191" s="1">
        <v>45477</v>
      </c>
      <c r="H191" s="1">
        <v>45596</v>
      </c>
      <c r="I191" s="1">
        <v>47277</v>
      </c>
      <c r="J191">
        <v>677300</v>
      </c>
      <c r="K191">
        <v>60</v>
      </c>
      <c r="L191">
        <v>57</v>
      </c>
      <c r="M191">
        <v>3</v>
      </c>
      <c r="N191">
        <v>11.65</v>
      </c>
      <c r="O191">
        <v>14946.65</v>
      </c>
      <c r="P191" t="s">
        <v>116</v>
      </c>
      <c r="Q191">
        <v>666957.92000000004</v>
      </c>
      <c r="R191">
        <v>14946.65</v>
      </c>
      <c r="S191">
        <v>14950.79</v>
      </c>
      <c r="T191" s="1">
        <v>45575</v>
      </c>
      <c r="U191" t="s">
        <v>73</v>
      </c>
      <c r="V191">
        <v>0</v>
      </c>
      <c r="W191">
        <v>3</v>
      </c>
      <c r="X191">
        <v>3</v>
      </c>
      <c r="Y191">
        <v>0</v>
      </c>
      <c r="Z191">
        <v>0</v>
      </c>
      <c r="AA191">
        <v>0</v>
      </c>
      <c r="AB191" t="s">
        <v>111</v>
      </c>
      <c r="AC191" t="s">
        <v>197</v>
      </c>
      <c r="AD191">
        <v>2021</v>
      </c>
      <c r="AE191" t="s">
        <v>119</v>
      </c>
      <c r="AF191" t="b">
        <v>0</v>
      </c>
      <c r="AG191">
        <v>988000</v>
      </c>
      <c r="AH191">
        <v>888929.02</v>
      </c>
      <c r="AI191">
        <v>0.6855</v>
      </c>
      <c r="AJ191">
        <v>0.70030000000000003</v>
      </c>
      <c r="AK191">
        <v>41</v>
      </c>
      <c r="AL191" t="s">
        <v>132</v>
      </c>
      <c r="AM191">
        <v>451000</v>
      </c>
      <c r="AN191">
        <v>0.3977</v>
      </c>
      <c r="AO191">
        <v>733</v>
      </c>
      <c r="AP191">
        <v>687</v>
      </c>
      <c r="AQ191" t="s">
        <v>127</v>
      </c>
      <c r="AR191" t="s">
        <v>215</v>
      </c>
      <c r="AS191">
        <v>1</v>
      </c>
      <c r="AT191">
        <v>1.7899999999999999E-2</v>
      </c>
      <c r="AU191">
        <v>0.37930000000000003</v>
      </c>
      <c r="AV191">
        <v>683243.65</v>
      </c>
      <c r="AW191">
        <v>4638.8599999999997</v>
      </c>
      <c r="AX191" t="b">
        <v>0</v>
      </c>
      <c r="AY191" t="b">
        <v>1</v>
      </c>
      <c r="AZ191" t="s">
        <v>225</v>
      </c>
      <c r="BA191">
        <v>0</v>
      </c>
      <c r="BB191">
        <v>0</v>
      </c>
      <c r="BC191">
        <v>0</v>
      </c>
      <c r="BD191">
        <v>0</v>
      </c>
      <c r="BE191" t="s">
        <v>134</v>
      </c>
      <c r="BF191" t="b">
        <v>1</v>
      </c>
    </row>
    <row r="192" spans="1:58" x14ac:dyDescent="0.3">
      <c r="A192" t="s">
        <v>555</v>
      </c>
      <c r="B192" t="s">
        <v>67</v>
      </c>
      <c r="C192" t="s">
        <v>556</v>
      </c>
      <c r="D192" t="s">
        <v>69</v>
      </c>
      <c r="E192" t="s">
        <v>70</v>
      </c>
      <c r="F192" t="s">
        <v>86</v>
      </c>
      <c r="G192" s="1">
        <v>44810</v>
      </c>
      <c r="H192" s="1">
        <v>45596</v>
      </c>
      <c r="I192" s="1">
        <v>46610</v>
      </c>
      <c r="J192">
        <v>837900</v>
      </c>
      <c r="K192">
        <v>60</v>
      </c>
      <c r="L192">
        <v>35</v>
      </c>
      <c r="M192">
        <v>25</v>
      </c>
      <c r="N192">
        <v>9.36</v>
      </c>
      <c r="O192">
        <v>17540.189999999999</v>
      </c>
      <c r="P192" t="s">
        <v>72</v>
      </c>
      <c r="Q192">
        <v>461695.91</v>
      </c>
      <c r="R192">
        <v>17540.189999999999</v>
      </c>
      <c r="S192">
        <v>17759.38</v>
      </c>
      <c r="T192" s="1">
        <v>45567</v>
      </c>
      <c r="U192" t="s">
        <v>73</v>
      </c>
      <c r="V192">
        <v>0</v>
      </c>
      <c r="W192">
        <v>25</v>
      </c>
      <c r="X192">
        <v>25</v>
      </c>
      <c r="Y192">
        <v>0</v>
      </c>
      <c r="Z192">
        <v>0</v>
      </c>
      <c r="AA192">
        <v>0</v>
      </c>
      <c r="AB192" t="s">
        <v>111</v>
      </c>
      <c r="AC192" t="s">
        <v>197</v>
      </c>
      <c r="AD192">
        <v>2022</v>
      </c>
      <c r="AE192" t="s">
        <v>99</v>
      </c>
      <c r="AF192" t="b">
        <v>1</v>
      </c>
      <c r="AG192">
        <v>1064000</v>
      </c>
      <c r="AH192">
        <v>770355.61</v>
      </c>
      <c r="AI192">
        <v>0.78749999999999998</v>
      </c>
      <c r="AJ192">
        <v>0.61990000000000001</v>
      </c>
      <c r="AK192">
        <v>49</v>
      </c>
      <c r="AL192" t="s">
        <v>77</v>
      </c>
      <c r="AM192">
        <v>3235000</v>
      </c>
      <c r="AN192">
        <v>6.5100000000000005E-2</v>
      </c>
      <c r="AO192">
        <v>673</v>
      </c>
      <c r="AP192">
        <v>697</v>
      </c>
      <c r="AQ192" t="s">
        <v>145</v>
      </c>
      <c r="AR192" t="s">
        <v>203</v>
      </c>
      <c r="AS192">
        <v>1</v>
      </c>
      <c r="AT192">
        <v>2.01E-2</v>
      </c>
      <c r="AU192">
        <v>0.44</v>
      </c>
      <c r="AV192">
        <v>477011.67</v>
      </c>
      <c r="AW192">
        <v>4218.6899999999996</v>
      </c>
      <c r="AX192" t="b">
        <v>0</v>
      </c>
      <c r="AY192" t="b">
        <v>0</v>
      </c>
      <c r="AZ192" t="s">
        <v>80</v>
      </c>
      <c r="BA192">
        <v>0</v>
      </c>
      <c r="BB192">
        <v>0</v>
      </c>
      <c r="BC192">
        <v>0</v>
      </c>
      <c r="BD192">
        <v>0</v>
      </c>
      <c r="BE192" t="s">
        <v>134</v>
      </c>
      <c r="BF192" t="b">
        <v>1</v>
      </c>
    </row>
    <row r="193" spans="1:58" x14ac:dyDescent="0.3">
      <c r="A193" t="s">
        <v>557</v>
      </c>
      <c r="B193" t="s">
        <v>67</v>
      </c>
      <c r="C193" t="s">
        <v>558</v>
      </c>
      <c r="D193" t="s">
        <v>69</v>
      </c>
      <c r="E193" t="s">
        <v>70</v>
      </c>
      <c r="F193" t="s">
        <v>71</v>
      </c>
      <c r="G193" s="1">
        <v>45318</v>
      </c>
      <c r="H193" s="1">
        <v>45596</v>
      </c>
      <c r="I193" s="1">
        <v>46758</v>
      </c>
      <c r="J193">
        <v>1322300</v>
      </c>
      <c r="K193">
        <v>48</v>
      </c>
      <c r="L193">
        <v>39</v>
      </c>
      <c r="M193">
        <v>9</v>
      </c>
      <c r="N193">
        <v>12.13</v>
      </c>
      <c r="O193">
        <v>34905.69</v>
      </c>
      <c r="P193" t="s">
        <v>72</v>
      </c>
      <c r="Q193">
        <v>1099709.03</v>
      </c>
      <c r="R193">
        <v>34905.69</v>
      </c>
      <c r="S193">
        <v>34577.11</v>
      </c>
      <c r="T193" s="1">
        <v>45589</v>
      </c>
      <c r="U193" t="s">
        <v>73</v>
      </c>
      <c r="V193">
        <v>0</v>
      </c>
      <c r="W193">
        <v>9</v>
      </c>
      <c r="X193">
        <v>9</v>
      </c>
      <c r="Y193">
        <v>0</v>
      </c>
      <c r="Z193">
        <v>0</v>
      </c>
      <c r="AA193">
        <v>0</v>
      </c>
      <c r="AB193" t="s">
        <v>208</v>
      </c>
      <c r="AC193" t="s">
        <v>209</v>
      </c>
      <c r="AD193">
        <v>2024</v>
      </c>
      <c r="AE193" t="s">
        <v>90</v>
      </c>
      <c r="AF193" t="b">
        <v>1</v>
      </c>
      <c r="AG193">
        <v>1649000</v>
      </c>
      <c r="AH193">
        <v>1367933.33</v>
      </c>
      <c r="AI193">
        <v>0.80189999999999995</v>
      </c>
      <c r="AJ193">
        <v>0.74760000000000004</v>
      </c>
      <c r="AK193">
        <v>39</v>
      </c>
      <c r="AL193" t="s">
        <v>120</v>
      </c>
      <c r="AM193">
        <v>4693000</v>
      </c>
      <c r="AN193">
        <v>8.9300000000000004E-2</v>
      </c>
      <c r="AO193">
        <v>836</v>
      </c>
      <c r="AP193">
        <v>866</v>
      </c>
      <c r="AQ193" t="s">
        <v>145</v>
      </c>
      <c r="AR193" t="s">
        <v>203</v>
      </c>
      <c r="AS193">
        <v>1</v>
      </c>
      <c r="AT193">
        <v>2.4199999999999999E-2</v>
      </c>
      <c r="AU193">
        <v>0.43009999999999998</v>
      </c>
      <c r="AV193">
        <v>1115492.31</v>
      </c>
      <c r="AW193">
        <v>11610.51</v>
      </c>
      <c r="AX193" t="b">
        <v>0</v>
      </c>
      <c r="AY193" t="b">
        <v>0</v>
      </c>
      <c r="AZ193" t="s">
        <v>80</v>
      </c>
      <c r="BA193">
        <v>0</v>
      </c>
      <c r="BB193">
        <v>0</v>
      </c>
      <c r="BC193">
        <v>0</v>
      </c>
      <c r="BD193">
        <v>0</v>
      </c>
      <c r="BE193" t="s">
        <v>81</v>
      </c>
      <c r="BF193" t="b">
        <v>1</v>
      </c>
    </row>
    <row r="194" spans="1:58" x14ac:dyDescent="0.3">
      <c r="A194" t="s">
        <v>559</v>
      </c>
      <c r="B194" t="s">
        <v>67</v>
      </c>
      <c r="C194" t="s">
        <v>560</v>
      </c>
      <c r="D194" t="s">
        <v>69</v>
      </c>
      <c r="E194" t="s">
        <v>70</v>
      </c>
      <c r="F194" t="s">
        <v>124</v>
      </c>
      <c r="G194" s="1">
        <v>44253</v>
      </c>
      <c r="H194" s="1">
        <v>45596</v>
      </c>
      <c r="I194" s="1">
        <v>45333</v>
      </c>
      <c r="J194">
        <v>1338400</v>
      </c>
      <c r="K194">
        <v>36</v>
      </c>
      <c r="L194">
        <v>0</v>
      </c>
      <c r="M194">
        <v>44</v>
      </c>
      <c r="N194">
        <v>8.91</v>
      </c>
      <c r="O194">
        <v>42504.72</v>
      </c>
      <c r="P194" t="s">
        <v>72</v>
      </c>
      <c r="Q194">
        <v>0</v>
      </c>
      <c r="R194">
        <v>42504.72</v>
      </c>
      <c r="S194">
        <v>31723.33</v>
      </c>
      <c r="T194" s="1">
        <v>45563</v>
      </c>
      <c r="U194" t="s">
        <v>87</v>
      </c>
      <c r="V194">
        <v>3</v>
      </c>
      <c r="W194">
        <v>44</v>
      </c>
      <c r="X194">
        <v>43</v>
      </c>
      <c r="Y194">
        <v>2</v>
      </c>
      <c r="Z194">
        <v>0</v>
      </c>
      <c r="AA194">
        <v>0</v>
      </c>
      <c r="AB194" t="s">
        <v>125</v>
      </c>
      <c r="AC194" t="s">
        <v>238</v>
      </c>
      <c r="AD194">
        <v>2021</v>
      </c>
      <c r="AE194" t="s">
        <v>90</v>
      </c>
      <c r="AF194" t="b">
        <v>1</v>
      </c>
      <c r="AG194">
        <v>1790000</v>
      </c>
      <c r="AH194">
        <v>872628.75</v>
      </c>
      <c r="AI194">
        <v>0.74770000000000003</v>
      </c>
      <c r="AJ194">
        <v>0</v>
      </c>
      <c r="AK194">
        <v>41</v>
      </c>
      <c r="AL194" t="s">
        <v>106</v>
      </c>
      <c r="AM194">
        <v>1374000</v>
      </c>
      <c r="AN194">
        <v>0.37119999999999997</v>
      </c>
      <c r="AO194">
        <v>660</v>
      </c>
      <c r="AP194">
        <v>672</v>
      </c>
      <c r="AQ194" t="s">
        <v>145</v>
      </c>
      <c r="AR194" t="s">
        <v>146</v>
      </c>
      <c r="AS194">
        <v>1</v>
      </c>
      <c r="AT194">
        <v>2.53E-2</v>
      </c>
      <c r="AU194">
        <v>0.56730000000000003</v>
      </c>
      <c r="AV194">
        <v>0</v>
      </c>
      <c r="AW194">
        <v>0</v>
      </c>
      <c r="AX194" t="b">
        <v>0</v>
      </c>
      <c r="AY194" t="b">
        <v>0</v>
      </c>
      <c r="AZ194" t="s">
        <v>80</v>
      </c>
      <c r="BA194">
        <v>0</v>
      </c>
      <c r="BB194">
        <v>0</v>
      </c>
      <c r="BC194">
        <v>0</v>
      </c>
      <c r="BD194">
        <v>0</v>
      </c>
      <c r="BE194" t="s">
        <v>108</v>
      </c>
      <c r="BF194" t="b">
        <v>0</v>
      </c>
    </row>
    <row r="195" spans="1:58" x14ac:dyDescent="0.3">
      <c r="A195" t="s">
        <v>561</v>
      </c>
      <c r="B195" t="s">
        <v>67</v>
      </c>
      <c r="C195" t="s">
        <v>562</v>
      </c>
      <c r="D195" t="s">
        <v>69</v>
      </c>
      <c r="E195" t="s">
        <v>70</v>
      </c>
      <c r="F195" t="s">
        <v>86</v>
      </c>
      <c r="G195" s="1">
        <v>45385</v>
      </c>
      <c r="H195" s="1">
        <v>45596</v>
      </c>
      <c r="I195" s="1">
        <v>47185</v>
      </c>
      <c r="J195">
        <v>354800</v>
      </c>
      <c r="K195">
        <v>60</v>
      </c>
      <c r="L195">
        <v>54</v>
      </c>
      <c r="M195">
        <v>6</v>
      </c>
      <c r="N195">
        <v>9.81</v>
      </c>
      <c r="O195">
        <v>7505.32</v>
      </c>
      <c r="P195" t="s">
        <v>72</v>
      </c>
      <c r="Q195">
        <v>315376.06</v>
      </c>
      <c r="R195">
        <v>7505.32</v>
      </c>
      <c r="S195">
        <v>7238.81</v>
      </c>
      <c r="T195" s="1">
        <v>45566</v>
      </c>
      <c r="U195" t="s">
        <v>73</v>
      </c>
      <c r="V195">
        <v>0</v>
      </c>
      <c r="W195">
        <v>6</v>
      </c>
      <c r="X195">
        <v>6</v>
      </c>
      <c r="Y195">
        <v>0</v>
      </c>
      <c r="Z195">
        <v>0</v>
      </c>
      <c r="AA195">
        <v>0</v>
      </c>
      <c r="AB195" t="s">
        <v>97</v>
      </c>
      <c r="AC195" t="s">
        <v>152</v>
      </c>
      <c r="AD195">
        <v>2024</v>
      </c>
      <c r="AE195" t="s">
        <v>99</v>
      </c>
      <c r="AF195" t="b">
        <v>1</v>
      </c>
      <c r="AG195">
        <v>552000</v>
      </c>
      <c r="AH195">
        <v>534351.78</v>
      </c>
      <c r="AI195">
        <v>0.64280000000000004</v>
      </c>
      <c r="AJ195">
        <v>0.61570000000000003</v>
      </c>
      <c r="AK195">
        <v>37</v>
      </c>
      <c r="AL195" t="s">
        <v>120</v>
      </c>
      <c r="AM195">
        <v>1325000</v>
      </c>
      <c r="AN195">
        <v>6.8000000000000005E-2</v>
      </c>
      <c r="AO195">
        <v>677</v>
      </c>
      <c r="AP195">
        <v>649</v>
      </c>
      <c r="AQ195" t="s">
        <v>100</v>
      </c>
      <c r="AR195" t="s">
        <v>101</v>
      </c>
      <c r="AS195">
        <v>1</v>
      </c>
      <c r="AT195">
        <v>2.0500000000000001E-2</v>
      </c>
      <c r="AU195">
        <v>0.49249999999999999</v>
      </c>
      <c r="AV195">
        <v>319260.65000000002</v>
      </c>
      <c r="AW195">
        <v>3223.34</v>
      </c>
      <c r="AX195" t="b">
        <v>0</v>
      </c>
      <c r="AY195" t="b">
        <v>0</v>
      </c>
      <c r="AZ195" t="s">
        <v>80</v>
      </c>
      <c r="BA195">
        <v>0</v>
      </c>
      <c r="BB195">
        <v>0</v>
      </c>
      <c r="BC195">
        <v>0</v>
      </c>
      <c r="BD195">
        <v>0</v>
      </c>
      <c r="BE195" t="s">
        <v>108</v>
      </c>
      <c r="BF195" t="b">
        <v>0</v>
      </c>
    </row>
    <row r="196" spans="1:58" x14ac:dyDescent="0.3">
      <c r="A196" t="s">
        <v>563</v>
      </c>
      <c r="B196" t="s">
        <v>67</v>
      </c>
      <c r="C196" t="s">
        <v>564</v>
      </c>
      <c r="D196" t="s">
        <v>84</v>
      </c>
      <c r="E196" t="s">
        <v>85</v>
      </c>
      <c r="F196" t="s">
        <v>124</v>
      </c>
      <c r="G196" s="1">
        <v>44828</v>
      </c>
      <c r="H196" s="1">
        <v>45596</v>
      </c>
      <c r="I196" s="1">
        <v>46268</v>
      </c>
      <c r="J196">
        <v>820900</v>
      </c>
      <c r="K196">
        <v>48</v>
      </c>
      <c r="L196">
        <v>23</v>
      </c>
      <c r="M196">
        <v>25</v>
      </c>
      <c r="N196">
        <v>9.27</v>
      </c>
      <c r="O196">
        <v>20533.54</v>
      </c>
      <c r="P196" t="s">
        <v>72</v>
      </c>
      <c r="Q196">
        <v>376710.69</v>
      </c>
      <c r="R196">
        <v>20533.54</v>
      </c>
      <c r="S196">
        <v>6783.65</v>
      </c>
      <c r="T196" s="1">
        <v>45575</v>
      </c>
      <c r="U196" t="s">
        <v>131</v>
      </c>
      <c r="V196">
        <v>62</v>
      </c>
      <c r="W196">
        <v>25</v>
      </c>
      <c r="X196">
        <v>22</v>
      </c>
      <c r="Y196">
        <v>1</v>
      </c>
      <c r="Z196">
        <v>1</v>
      </c>
      <c r="AA196">
        <v>2</v>
      </c>
      <c r="AB196" t="s">
        <v>117</v>
      </c>
      <c r="AC196" t="s">
        <v>257</v>
      </c>
      <c r="AD196">
        <v>2022</v>
      </c>
      <c r="AE196" t="s">
        <v>99</v>
      </c>
      <c r="AF196" t="b">
        <v>1</v>
      </c>
      <c r="AG196">
        <v>937000</v>
      </c>
      <c r="AH196">
        <v>684416.7</v>
      </c>
      <c r="AI196">
        <v>0.87609999999999999</v>
      </c>
      <c r="AJ196">
        <v>0.57430000000000003</v>
      </c>
      <c r="AK196">
        <v>47</v>
      </c>
      <c r="AL196" t="s">
        <v>132</v>
      </c>
      <c r="AM196">
        <v>1015000</v>
      </c>
      <c r="AN196">
        <v>0.24279999999999999</v>
      </c>
      <c r="AO196">
        <v>763</v>
      </c>
      <c r="AP196">
        <v>762</v>
      </c>
      <c r="AQ196" t="s">
        <v>145</v>
      </c>
      <c r="AR196" t="s">
        <v>182</v>
      </c>
      <c r="AS196">
        <v>2</v>
      </c>
      <c r="AT196">
        <v>0.14080000000000001</v>
      </c>
      <c r="AU196">
        <v>0.43219999999999997</v>
      </c>
      <c r="AV196">
        <v>378219.31</v>
      </c>
      <c r="AW196">
        <v>23016.07</v>
      </c>
      <c r="AX196" t="b">
        <v>0</v>
      </c>
      <c r="AY196" t="b">
        <v>0</v>
      </c>
      <c r="AZ196" t="s">
        <v>80</v>
      </c>
      <c r="BA196">
        <v>0</v>
      </c>
      <c r="BB196">
        <v>0</v>
      </c>
      <c r="BC196">
        <v>0</v>
      </c>
      <c r="BD196">
        <v>0</v>
      </c>
      <c r="BE196" t="s">
        <v>108</v>
      </c>
      <c r="BF196" t="b">
        <v>1</v>
      </c>
    </row>
    <row r="197" spans="1:58" x14ac:dyDescent="0.3">
      <c r="A197" t="s">
        <v>565</v>
      </c>
      <c r="B197" t="s">
        <v>67</v>
      </c>
      <c r="C197" t="s">
        <v>566</v>
      </c>
      <c r="D197" t="s">
        <v>84</v>
      </c>
      <c r="E197" t="s">
        <v>85</v>
      </c>
      <c r="F197" t="s">
        <v>71</v>
      </c>
      <c r="G197" s="1">
        <v>44402</v>
      </c>
      <c r="H197" s="1">
        <v>45596</v>
      </c>
      <c r="I197" s="1">
        <v>46922</v>
      </c>
      <c r="J197">
        <v>526200</v>
      </c>
      <c r="K197">
        <v>84</v>
      </c>
      <c r="L197">
        <v>45</v>
      </c>
      <c r="M197">
        <v>39</v>
      </c>
      <c r="N197">
        <v>12.66</v>
      </c>
      <c r="O197">
        <v>9475.61</v>
      </c>
      <c r="P197" t="s">
        <v>72</v>
      </c>
      <c r="Q197">
        <v>272869.26</v>
      </c>
      <c r="R197">
        <v>9475.61</v>
      </c>
      <c r="S197">
        <v>9128.34</v>
      </c>
      <c r="T197" s="1">
        <v>45585</v>
      </c>
      <c r="U197" t="s">
        <v>73</v>
      </c>
      <c r="V197">
        <v>0</v>
      </c>
      <c r="W197">
        <v>39</v>
      </c>
      <c r="X197">
        <v>39</v>
      </c>
      <c r="Y197">
        <v>0</v>
      </c>
      <c r="Z197">
        <v>0</v>
      </c>
      <c r="AA197">
        <v>0</v>
      </c>
      <c r="AB197" t="s">
        <v>208</v>
      </c>
      <c r="AC197" t="s">
        <v>405</v>
      </c>
      <c r="AD197">
        <v>2021</v>
      </c>
      <c r="AE197" t="s">
        <v>99</v>
      </c>
      <c r="AF197" t="b">
        <v>1</v>
      </c>
      <c r="AG197">
        <v>649000</v>
      </c>
      <c r="AH197">
        <v>358213.26</v>
      </c>
      <c r="AI197">
        <v>0.81069999999999998</v>
      </c>
      <c r="AJ197">
        <v>0.7903</v>
      </c>
      <c r="AK197">
        <v>28</v>
      </c>
      <c r="AL197" t="s">
        <v>77</v>
      </c>
      <c r="AM197">
        <v>3262000</v>
      </c>
      <c r="AN197">
        <v>3.49E-2</v>
      </c>
      <c r="AO197">
        <v>814</v>
      </c>
      <c r="AP197">
        <v>781</v>
      </c>
      <c r="AQ197" t="s">
        <v>145</v>
      </c>
      <c r="AR197" t="s">
        <v>182</v>
      </c>
      <c r="AS197">
        <v>1</v>
      </c>
      <c r="AT197">
        <v>2.4199999999999999E-2</v>
      </c>
      <c r="AU197">
        <v>0.55569999999999997</v>
      </c>
      <c r="AV197">
        <v>283683.65000000002</v>
      </c>
      <c r="AW197">
        <v>3814.96</v>
      </c>
      <c r="AX197" t="b">
        <v>0</v>
      </c>
      <c r="AY197" t="b">
        <v>0</v>
      </c>
      <c r="AZ197" t="s">
        <v>80</v>
      </c>
      <c r="BA197">
        <v>0</v>
      </c>
      <c r="BB197">
        <v>0</v>
      </c>
      <c r="BC197">
        <v>0</v>
      </c>
      <c r="BD197">
        <v>0</v>
      </c>
      <c r="BE197" t="s">
        <v>108</v>
      </c>
      <c r="BF197" t="b">
        <v>1</v>
      </c>
    </row>
    <row r="198" spans="1:58" x14ac:dyDescent="0.3">
      <c r="A198" t="s">
        <v>567</v>
      </c>
      <c r="B198" t="s">
        <v>67</v>
      </c>
      <c r="C198" t="s">
        <v>568</v>
      </c>
      <c r="D198" t="s">
        <v>69</v>
      </c>
      <c r="E198" t="s">
        <v>70</v>
      </c>
      <c r="F198" t="s">
        <v>115</v>
      </c>
      <c r="G198" s="1">
        <v>44867</v>
      </c>
      <c r="H198" s="1">
        <v>45596</v>
      </c>
      <c r="I198" s="1">
        <v>45947</v>
      </c>
      <c r="J198">
        <v>629800</v>
      </c>
      <c r="K198">
        <v>36</v>
      </c>
      <c r="L198">
        <v>13</v>
      </c>
      <c r="M198">
        <v>23</v>
      </c>
      <c r="N198">
        <v>14.14</v>
      </c>
      <c r="O198">
        <v>21567.919999999998</v>
      </c>
      <c r="P198" t="s">
        <v>116</v>
      </c>
      <c r="Q198">
        <v>236176.21</v>
      </c>
      <c r="R198">
        <v>21567.919999999998</v>
      </c>
      <c r="S198">
        <v>20973.69</v>
      </c>
      <c r="T198" s="1">
        <v>45583</v>
      </c>
      <c r="U198" t="s">
        <v>73</v>
      </c>
      <c r="V198">
        <v>0</v>
      </c>
      <c r="W198">
        <v>23</v>
      </c>
      <c r="X198">
        <v>23</v>
      </c>
      <c r="Y198">
        <v>0</v>
      </c>
      <c r="Z198">
        <v>0</v>
      </c>
      <c r="AA198">
        <v>0</v>
      </c>
      <c r="AB198" t="s">
        <v>88</v>
      </c>
      <c r="AC198" t="s">
        <v>89</v>
      </c>
      <c r="AD198">
        <v>2019</v>
      </c>
      <c r="AE198" t="s">
        <v>76</v>
      </c>
      <c r="AF198" t="b">
        <v>0</v>
      </c>
      <c r="AG198">
        <v>706000</v>
      </c>
      <c r="AH198">
        <v>479508.7</v>
      </c>
      <c r="AI198">
        <v>0.8921</v>
      </c>
      <c r="AJ198">
        <v>0.46210000000000001</v>
      </c>
      <c r="AK198">
        <v>37</v>
      </c>
      <c r="AL198" t="s">
        <v>132</v>
      </c>
      <c r="AM198">
        <v>915000</v>
      </c>
      <c r="AN198">
        <v>0.28289999999999998</v>
      </c>
      <c r="AO198">
        <v>829</v>
      </c>
      <c r="AP198">
        <v>800</v>
      </c>
      <c r="AQ198" t="s">
        <v>145</v>
      </c>
      <c r="AR198" t="s">
        <v>182</v>
      </c>
      <c r="AS198">
        <v>1</v>
      </c>
      <c r="AT198">
        <v>2.2599999999999999E-2</v>
      </c>
      <c r="AU198">
        <v>0.48049999999999998</v>
      </c>
      <c r="AV198">
        <v>247040.19</v>
      </c>
      <c r="AW198">
        <v>2682.68</v>
      </c>
      <c r="AX198" t="b">
        <v>0</v>
      </c>
      <c r="AY198" t="b">
        <v>0</v>
      </c>
      <c r="AZ198" t="s">
        <v>80</v>
      </c>
      <c r="BA198">
        <v>0</v>
      </c>
      <c r="BB198">
        <v>0</v>
      </c>
      <c r="BC198">
        <v>0</v>
      </c>
      <c r="BD198">
        <v>0</v>
      </c>
      <c r="BE198" t="s">
        <v>81</v>
      </c>
      <c r="BF198" t="b">
        <v>1</v>
      </c>
    </row>
    <row r="199" spans="1:58" x14ac:dyDescent="0.3">
      <c r="A199" t="s">
        <v>569</v>
      </c>
      <c r="B199" t="s">
        <v>67</v>
      </c>
      <c r="C199" t="s">
        <v>570</v>
      </c>
      <c r="D199" t="s">
        <v>95</v>
      </c>
      <c r="E199" t="s">
        <v>96</v>
      </c>
      <c r="F199" t="s">
        <v>124</v>
      </c>
      <c r="G199" s="1">
        <v>44742</v>
      </c>
      <c r="H199" s="1">
        <v>45596</v>
      </c>
      <c r="I199" s="1">
        <v>46182</v>
      </c>
      <c r="J199">
        <v>809500</v>
      </c>
      <c r="K199">
        <v>48</v>
      </c>
      <c r="L199">
        <v>20</v>
      </c>
      <c r="M199">
        <v>28</v>
      </c>
      <c r="N199">
        <v>14.47</v>
      </c>
      <c r="O199">
        <v>22312.11</v>
      </c>
      <c r="P199" t="s">
        <v>72</v>
      </c>
      <c r="Q199">
        <v>317878.87</v>
      </c>
      <c r="R199">
        <v>22312.11</v>
      </c>
      <c r="S199">
        <v>22439.29</v>
      </c>
      <c r="T199" s="1">
        <v>45593</v>
      </c>
      <c r="U199" t="s">
        <v>73</v>
      </c>
      <c r="V199">
        <v>0</v>
      </c>
      <c r="W199">
        <v>28</v>
      </c>
      <c r="X199">
        <v>28</v>
      </c>
      <c r="Y199">
        <v>0</v>
      </c>
      <c r="Z199">
        <v>0</v>
      </c>
      <c r="AA199">
        <v>0</v>
      </c>
      <c r="AB199" t="s">
        <v>88</v>
      </c>
      <c r="AC199" t="s">
        <v>181</v>
      </c>
      <c r="AD199">
        <v>2022</v>
      </c>
      <c r="AE199" t="s">
        <v>76</v>
      </c>
      <c r="AF199" t="b">
        <v>1</v>
      </c>
      <c r="AG199">
        <v>1204000</v>
      </c>
      <c r="AH199">
        <v>772732.19</v>
      </c>
      <c r="AI199">
        <v>0.67230000000000001</v>
      </c>
      <c r="AJ199">
        <v>0.39760000000000001</v>
      </c>
      <c r="AK199">
        <v>36</v>
      </c>
      <c r="AL199" t="s">
        <v>120</v>
      </c>
      <c r="AM199">
        <v>1148000</v>
      </c>
      <c r="AN199">
        <v>0.23319999999999999</v>
      </c>
      <c r="AO199">
        <v>687</v>
      </c>
      <c r="AP199">
        <v>640</v>
      </c>
      <c r="AQ199" t="s">
        <v>91</v>
      </c>
      <c r="AR199" t="s">
        <v>192</v>
      </c>
      <c r="AS199">
        <v>1</v>
      </c>
      <c r="AT199">
        <v>2.2200000000000001E-2</v>
      </c>
      <c r="AU199">
        <v>0.56399999999999995</v>
      </c>
      <c r="AV199">
        <v>329138.98</v>
      </c>
      <c r="AW199">
        <v>4121.08</v>
      </c>
      <c r="AX199" t="b">
        <v>0</v>
      </c>
      <c r="AY199" t="b">
        <v>1</v>
      </c>
      <c r="AZ199" t="s">
        <v>361</v>
      </c>
      <c r="BA199">
        <v>0</v>
      </c>
      <c r="BB199">
        <v>0</v>
      </c>
      <c r="BC199">
        <v>0</v>
      </c>
      <c r="BD199">
        <v>0</v>
      </c>
      <c r="BE199" t="s">
        <v>81</v>
      </c>
      <c r="BF199" t="b">
        <v>1</v>
      </c>
    </row>
    <row r="200" spans="1:58" x14ac:dyDescent="0.3">
      <c r="A200" t="s">
        <v>571</v>
      </c>
      <c r="B200" t="s">
        <v>67</v>
      </c>
      <c r="C200" t="s">
        <v>572</v>
      </c>
      <c r="D200" t="s">
        <v>84</v>
      </c>
      <c r="E200" t="s">
        <v>85</v>
      </c>
      <c r="F200" t="s">
        <v>124</v>
      </c>
      <c r="G200" s="1">
        <v>44677</v>
      </c>
      <c r="H200" s="1">
        <v>45596</v>
      </c>
      <c r="I200" s="1">
        <v>45757</v>
      </c>
      <c r="J200">
        <v>1308400</v>
      </c>
      <c r="K200">
        <v>36</v>
      </c>
      <c r="L200">
        <v>6</v>
      </c>
      <c r="M200">
        <v>30</v>
      </c>
      <c r="N200">
        <v>9.2799999999999994</v>
      </c>
      <c r="O200">
        <v>41777.480000000003</v>
      </c>
      <c r="P200" t="s">
        <v>72</v>
      </c>
      <c r="Q200">
        <v>216529.01</v>
      </c>
      <c r="R200">
        <v>41777.480000000003</v>
      </c>
      <c r="S200">
        <v>43176.21</v>
      </c>
      <c r="T200" s="1">
        <v>45573</v>
      </c>
      <c r="U200" t="s">
        <v>73</v>
      </c>
      <c r="V200">
        <v>0</v>
      </c>
      <c r="W200">
        <v>30</v>
      </c>
      <c r="X200">
        <v>30</v>
      </c>
      <c r="Y200">
        <v>0</v>
      </c>
      <c r="Z200">
        <v>0</v>
      </c>
      <c r="AA200">
        <v>0</v>
      </c>
      <c r="AB200" t="s">
        <v>164</v>
      </c>
      <c r="AC200" t="s">
        <v>165</v>
      </c>
      <c r="AD200">
        <v>2022</v>
      </c>
      <c r="AE200" t="s">
        <v>90</v>
      </c>
      <c r="AF200" t="b">
        <v>1</v>
      </c>
      <c r="AG200">
        <v>1481000</v>
      </c>
      <c r="AH200">
        <v>1028640.9</v>
      </c>
      <c r="AI200">
        <v>0.88339999999999996</v>
      </c>
      <c r="AJ200">
        <v>0.22839999999999999</v>
      </c>
      <c r="AK200">
        <v>49</v>
      </c>
      <c r="AL200" t="s">
        <v>106</v>
      </c>
      <c r="AM200">
        <v>4526000</v>
      </c>
      <c r="AN200">
        <v>0.1108</v>
      </c>
      <c r="AO200">
        <v>660</v>
      </c>
      <c r="AP200">
        <v>684</v>
      </c>
      <c r="AQ200" t="s">
        <v>100</v>
      </c>
      <c r="AR200" t="s">
        <v>101</v>
      </c>
      <c r="AS200">
        <v>1</v>
      </c>
      <c r="AT200">
        <v>1.5699999999999999E-2</v>
      </c>
      <c r="AU200">
        <v>0.3851</v>
      </c>
      <c r="AV200">
        <v>217007.13</v>
      </c>
      <c r="AW200">
        <v>1312.04</v>
      </c>
      <c r="AX200" t="b">
        <v>0</v>
      </c>
      <c r="AY200" t="b">
        <v>0</v>
      </c>
      <c r="AZ200" t="s">
        <v>80</v>
      </c>
      <c r="BA200">
        <v>0</v>
      </c>
      <c r="BB200">
        <v>0</v>
      </c>
      <c r="BC200">
        <v>0</v>
      </c>
      <c r="BD200">
        <v>0</v>
      </c>
      <c r="BE200" t="s">
        <v>108</v>
      </c>
      <c r="BF200" t="b">
        <v>0</v>
      </c>
    </row>
    <row r="201" spans="1:58" x14ac:dyDescent="0.3">
      <c r="A201" t="s">
        <v>573</v>
      </c>
      <c r="B201" t="s">
        <v>67</v>
      </c>
      <c r="C201" t="s">
        <v>574</v>
      </c>
      <c r="D201" t="s">
        <v>95</v>
      </c>
      <c r="E201" t="s">
        <v>96</v>
      </c>
      <c r="F201" t="s">
        <v>124</v>
      </c>
      <c r="G201" s="1">
        <v>44776</v>
      </c>
      <c r="H201" s="1">
        <v>45596</v>
      </c>
      <c r="I201" s="1">
        <v>46216</v>
      </c>
      <c r="J201">
        <v>1652500</v>
      </c>
      <c r="K201">
        <v>48</v>
      </c>
      <c r="L201">
        <v>22</v>
      </c>
      <c r="M201">
        <v>26</v>
      </c>
      <c r="N201">
        <v>9.7100000000000009</v>
      </c>
      <c r="O201">
        <v>41681.9</v>
      </c>
      <c r="P201" t="s">
        <v>72</v>
      </c>
      <c r="Q201">
        <v>794648.17</v>
      </c>
      <c r="R201">
        <v>41681.9</v>
      </c>
      <c r="S201">
        <v>43216.52</v>
      </c>
      <c r="T201" s="1">
        <v>45585</v>
      </c>
      <c r="U201" t="s">
        <v>73</v>
      </c>
      <c r="V201">
        <v>0</v>
      </c>
      <c r="W201">
        <v>26</v>
      </c>
      <c r="X201">
        <v>26</v>
      </c>
      <c r="Y201">
        <v>0</v>
      </c>
      <c r="Z201">
        <v>0</v>
      </c>
      <c r="AA201">
        <v>0</v>
      </c>
      <c r="AB201" t="s">
        <v>88</v>
      </c>
      <c r="AC201" t="s">
        <v>181</v>
      </c>
      <c r="AD201">
        <v>2022</v>
      </c>
      <c r="AE201" t="s">
        <v>119</v>
      </c>
      <c r="AF201" t="b">
        <v>1</v>
      </c>
      <c r="AG201">
        <v>2196000</v>
      </c>
      <c r="AH201">
        <v>1612060.81</v>
      </c>
      <c r="AI201">
        <v>0.75249999999999995</v>
      </c>
      <c r="AJ201">
        <v>0.52600000000000002</v>
      </c>
      <c r="AK201">
        <v>33</v>
      </c>
      <c r="AL201" t="s">
        <v>120</v>
      </c>
      <c r="AM201">
        <v>550000</v>
      </c>
      <c r="AN201">
        <v>0.90939999999999999</v>
      </c>
      <c r="AO201">
        <v>688</v>
      </c>
      <c r="AP201">
        <v>644</v>
      </c>
      <c r="AQ201" t="s">
        <v>100</v>
      </c>
      <c r="AR201" t="s">
        <v>229</v>
      </c>
      <c r="AS201">
        <v>1</v>
      </c>
      <c r="AT201">
        <v>1.95E-2</v>
      </c>
      <c r="AU201">
        <v>0.38369999999999999</v>
      </c>
      <c r="AV201">
        <v>823246.13</v>
      </c>
      <c r="AW201">
        <v>6159.65</v>
      </c>
      <c r="AX201" t="b">
        <v>0</v>
      </c>
      <c r="AY201" t="b">
        <v>0</v>
      </c>
      <c r="AZ201" t="s">
        <v>80</v>
      </c>
      <c r="BA201">
        <v>0</v>
      </c>
      <c r="BB201">
        <v>0</v>
      </c>
      <c r="BC201">
        <v>0</v>
      </c>
      <c r="BD201">
        <v>0</v>
      </c>
      <c r="BE201" t="s">
        <v>81</v>
      </c>
      <c r="BF201" t="b">
        <v>1</v>
      </c>
    </row>
    <row r="202" spans="1:58" x14ac:dyDescent="0.3">
      <c r="A202" t="s">
        <v>575</v>
      </c>
      <c r="B202" t="s">
        <v>67</v>
      </c>
      <c r="C202" t="s">
        <v>576</v>
      </c>
      <c r="D202" t="s">
        <v>69</v>
      </c>
      <c r="E202" t="s">
        <v>70</v>
      </c>
      <c r="F202" t="s">
        <v>124</v>
      </c>
      <c r="G202" s="1">
        <v>45238</v>
      </c>
      <c r="H202" s="1">
        <v>45596</v>
      </c>
      <c r="I202" s="1">
        <v>46318</v>
      </c>
      <c r="J202">
        <v>886600</v>
      </c>
      <c r="K202">
        <v>36</v>
      </c>
      <c r="L202">
        <v>25</v>
      </c>
      <c r="M202">
        <v>11</v>
      </c>
      <c r="N202">
        <v>11.18</v>
      </c>
      <c r="O202">
        <v>29101.78</v>
      </c>
      <c r="P202" t="s">
        <v>72</v>
      </c>
      <c r="Q202">
        <v>606839.63</v>
      </c>
      <c r="R202">
        <v>29101.78</v>
      </c>
      <c r="S202">
        <v>28605.38</v>
      </c>
      <c r="T202" s="1">
        <v>45594</v>
      </c>
      <c r="U202" t="s">
        <v>73</v>
      </c>
      <c r="V202">
        <v>0</v>
      </c>
      <c r="W202">
        <v>11</v>
      </c>
      <c r="X202">
        <v>11</v>
      </c>
      <c r="Y202">
        <v>0</v>
      </c>
      <c r="Z202">
        <v>0</v>
      </c>
      <c r="AA202">
        <v>0</v>
      </c>
      <c r="AB202" t="s">
        <v>88</v>
      </c>
      <c r="AC202" t="s">
        <v>181</v>
      </c>
      <c r="AD202">
        <v>2023</v>
      </c>
      <c r="AE202" t="s">
        <v>90</v>
      </c>
      <c r="AF202" t="b">
        <v>1</v>
      </c>
      <c r="AG202">
        <v>934000</v>
      </c>
      <c r="AH202">
        <v>836034.23</v>
      </c>
      <c r="AI202">
        <v>0.94930000000000003</v>
      </c>
      <c r="AJ202">
        <v>0.74850000000000005</v>
      </c>
      <c r="AK202">
        <v>26</v>
      </c>
      <c r="AL202" t="s">
        <v>77</v>
      </c>
      <c r="AM202">
        <v>3911000</v>
      </c>
      <c r="AN202">
        <v>8.9300000000000004E-2</v>
      </c>
      <c r="AO202">
        <v>823</v>
      </c>
      <c r="AP202">
        <v>785</v>
      </c>
      <c r="AQ202" t="s">
        <v>91</v>
      </c>
      <c r="AR202" t="s">
        <v>92</v>
      </c>
      <c r="AS202">
        <v>1</v>
      </c>
      <c r="AT202">
        <v>2.4E-2</v>
      </c>
      <c r="AU202">
        <v>0.54790000000000005</v>
      </c>
      <c r="AV202">
        <v>620616.56999999995</v>
      </c>
      <c r="AW202">
        <v>8160.86</v>
      </c>
      <c r="AX202" t="b">
        <v>0</v>
      </c>
      <c r="AY202" t="b">
        <v>0</v>
      </c>
      <c r="AZ202" t="s">
        <v>80</v>
      </c>
      <c r="BA202">
        <v>0</v>
      </c>
      <c r="BB202">
        <v>0</v>
      </c>
      <c r="BC202">
        <v>0</v>
      </c>
      <c r="BD202">
        <v>0</v>
      </c>
      <c r="BE202" t="s">
        <v>81</v>
      </c>
      <c r="BF202" t="b">
        <v>1</v>
      </c>
    </row>
    <row r="203" spans="1:58" x14ac:dyDescent="0.3">
      <c r="A203" t="s">
        <v>577</v>
      </c>
      <c r="B203" t="s">
        <v>67</v>
      </c>
      <c r="C203" t="s">
        <v>578</v>
      </c>
      <c r="D203" t="s">
        <v>95</v>
      </c>
      <c r="E203" t="s">
        <v>96</v>
      </c>
      <c r="F203" t="s">
        <v>86</v>
      </c>
      <c r="G203" s="1">
        <v>45124</v>
      </c>
      <c r="H203" s="1">
        <v>45596</v>
      </c>
      <c r="I203" s="1">
        <v>46204</v>
      </c>
      <c r="J203">
        <v>720700</v>
      </c>
      <c r="K203">
        <v>36</v>
      </c>
      <c r="L203">
        <v>21</v>
      </c>
      <c r="M203">
        <v>15</v>
      </c>
      <c r="N203">
        <v>12.71</v>
      </c>
      <c r="O203">
        <v>24182.68</v>
      </c>
      <c r="P203" t="s">
        <v>72</v>
      </c>
      <c r="Q203">
        <v>412871.86</v>
      </c>
      <c r="R203">
        <v>24182.68</v>
      </c>
      <c r="S203">
        <v>9472.32</v>
      </c>
      <c r="T203" s="1">
        <v>45572</v>
      </c>
      <c r="U203" t="s">
        <v>87</v>
      </c>
      <c r="V203">
        <v>6</v>
      </c>
      <c r="W203">
        <v>15</v>
      </c>
      <c r="X203">
        <v>14</v>
      </c>
      <c r="Y203">
        <v>2</v>
      </c>
      <c r="Z203">
        <v>0</v>
      </c>
      <c r="AA203">
        <v>0</v>
      </c>
      <c r="AB203" t="s">
        <v>111</v>
      </c>
      <c r="AC203" t="s">
        <v>228</v>
      </c>
      <c r="AD203">
        <v>2023</v>
      </c>
      <c r="AE203" t="s">
        <v>99</v>
      </c>
      <c r="AF203" t="b">
        <v>1</v>
      </c>
      <c r="AG203">
        <v>1031000</v>
      </c>
      <c r="AH203">
        <v>841436.33</v>
      </c>
      <c r="AI203">
        <v>0.69899999999999995</v>
      </c>
      <c r="AJ203">
        <v>0.4884</v>
      </c>
      <c r="AK203">
        <v>47</v>
      </c>
      <c r="AL203" t="s">
        <v>132</v>
      </c>
      <c r="AM203">
        <v>863000</v>
      </c>
      <c r="AN203">
        <v>0.33629999999999999</v>
      </c>
      <c r="AO203">
        <v>847</v>
      </c>
      <c r="AP203">
        <v>848</v>
      </c>
      <c r="AQ203" t="s">
        <v>145</v>
      </c>
      <c r="AR203" t="s">
        <v>146</v>
      </c>
      <c r="AS203">
        <v>1</v>
      </c>
      <c r="AT203">
        <v>2.4799999999999999E-2</v>
      </c>
      <c r="AU203">
        <v>0.53110000000000002</v>
      </c>
      <c r="AV203">
        <v>420283.82</v>
      </c>
      <c r="AW203">
        <v>5535.68</v>
      </c>
      <c r="AX203" t="b">
        <v>0</v>
      </c>
      <c r="AY203" t="b">
        <v>0</v>
      </c>
      <c r="AZ203" t="s">
        <v>80</v>
      </c>
      <c r="BA203">
        <v>0</v>
      </c>
      <c r="BB203">
        <v>0</v>
      </c>
      <c r="BC203">
        <v>0</v>
      </c>
      <c r="BD203">
        <v>0</v>
      </c>
      <c r="BE203" t="s">
        <v>81</v>
      </c>
      <c r="BF203" t="b">
        <v>1</v>
      </c>
    </row>
    <row r="204" spans="1:58" x14ac:dyDescent="0.3">
      <c r="A204" t="s">
        <v>579</v>
      </c>
      <c r="B204" t="s">
        <v>67</v>
      </c>
      <c r="C204" t="s">
        <v>580</v>
      </c>
      <c r="D204" t="s">
        <v>95</v>
      </c>
      <c r="E204" t="s">
        <v>96</v>
      </c>
      <c r="F204" t="s">
        <v>71</v>
      </c>
      <c r="G204" s="1">
        <v>45350</v>
      </c>
      <c r="H204" s="1">
        <v>45596</v>
      </c>
      <c r="I204" s="1">
        <v>47870</v>
      </c>
      <c r="J204">
        <v>1159600</v>
      </c>
      <c r="K204">
        <v>84</v>
      </c>
      <c r="L204">
        <v>76</v>
      </c>
      <c r="M204">
        <v>8</v>
      </c>
      <c r="N204">
        <v>9.89</v>
      </c>
      <c r="O204">
        <v>19184.89</v>
      </c>
      <c r="P204" t="s">
        <v>116</v>
      </c>
      <c r="Q204">
        <v>1017192.61</v>
      </c>
      <c r="R204">
        <v>19184.89</v>
      </c>
      <c r="S204">
        <v>19205.32</v>
      </c>
      <c r="T204" s="1">
        <v>45570</v>
      </c>
      <c r="U204" t="s">
        <v>73</v>
      </c>
      <c r="V204">
        <v>0</v>
      </c>
      <c r="W204">
        <v>8</v>
      </c>
      <c r="X204">
        <v>8</v>
      </c>
      <c r="Y204">
        <v>0</v>
      </c>
      <c r="Z204">
        <v>0</v>
      </c>
      <c r="AA204">
        <v>0</v>
      </c>
      <c r="AB204" t="s">
        <v>104</v>
      </c>
      <c r="AC204" t="s">
        <v>156</v>
      </c>
      <c r="AD204">
        <v>2020</v>
      </c>
      <c r="AE204" t="s">
        <v>119</v>
      </c>
      <c r="AF204" t="b">
        <v>0</v>
      </c>
      <c r="AG204">
        <v>1548000</v>
      </c>
      <c r="AH204">
        <v>1285896.93</v>
      </c>
      <c r="AI204">
        <v>0.74909999999999999</v>
      </c>
      <c r="AJ204">
        <v>0.72689999999999999</v>
      </c>
      <c r="AK204">
        <v>31</v>
      </c>
      <c r="AL204" t="s">
        <v>120</v>
      </c>
      <c r="AM204">
        <v>2778000</v>
      </c>
      <c r="AN204">
        <v>8.2900000000000001E-2</v>
      </c>
      <c r="AO204">
        <v>815</v>
      </c>
      <c r="AP204">
        <v>832</v>
      </c>
      <c r="AQ204" t="s">
        <v>145</v>
      </c>
      <c r="AR204" t="s">
        <v>157</v>
      </c>
      <c r="AS204">
        <v>1</v>
      </c>
      <c r="AT204">
        <v>2.0299999999999999E-2</v>
      </c>
      <c r="AU204">
        <v>0.43859999999999999</v>
      </c>
      <c r="AV204">
        <v>1019620.05</v>
      </c>
      <c r="AW204">
        <v>9078.27</v>
      </c>
      <c r="AX204" t="b">
        <v>0</v>
      </c>
      <c r="AY204" t="b">
        <v>0</v>
      </c>
      <c r="AZ204" t="s">
        <v>80</v>
      </c>
      <c r="BA204">
        <v>0</v>
      </c>
      <c r="BB204">
        <v>0</v>
      </c>
      <c r="BC204">
        <v>0</v>
      </c>
      <c r="BD204">
        <v>0</v>
      </c>
      <c r="BE204" t="s">
        <v>81</v>
      </c>
      <c r="BF204" t="b">
        <v>1</v>
      </c>
    </row>
    <row r="205" spans="1:58" x14ac:dyDescent="0.3">
      <c r="A205" t="s">
        <v>581</v>
      </c>
      <c r="B205" t="s">
        <v>67</v>
      </c>
      <c r="C205" t="s">
        <v>582</v>
      </c>
      <c r="D205" t="s">
        <v>69</v>
      </c>
      <c r="E205" t="s">
        <v>70</v>
      </c>
      <c r="F205" t="s">
        <v>71</v>
      </c>
      <c r="G205" s="1">
        <v>45550</v>
      </c>
      <c r="H205" s="1">
        <v>45596</v>
      </c>
      <c r="I205" s="1">
        <v>46630</v>
      </c>
      <c r="J205">
        <v>613200</v>
      </c>
      <c r="K205">
        <v>36</v>
      </c>
      <c r="L205">
        <v>35</v>
      </c>
      <c r="M205">
        <v>1</v>
      </c>
      <c r="N205">
        <v>12.68</v>
      </c>
      <c r="O205">
        <v>20566.740000000002</v>
      </c>
      <c r="P205" t="s">
        <v>72</v>
      </c>
      <c r="Q205">
        <v>577942.94999999995</v>
      </c>
      <c r="R205">
        <v>20566.740000000002</v>
      </c>
      <c r="S205">
        <v>19575.25</v>
      </c>
      <c r="T205" s="1">
        <v>45571</v>
      </c>
      <c r="U205" t="s">
        <v>73</v>
      </c>
      <c r="V205">
        <v>0</v>
      </c>
      <c r="W205">
        <v>1</v>
      </c>
      <c r="X205">
        <v>1</v>
      </c>
      <c r="Y205">
        <v>0</v>
      </c>
      <c r="Z205">
        <v>0</v>
      </c>
      <c r="AA205">
        <v>0</v>
      </c>
      <c r="AB205" t="s">
        <v>104</v>
      </c>
      <c r="AC205" t="s">
        <v>156</v>
      </c>
      <c r="AD205">
        <v>2024</v>
      </c>
      <c r="AE205" t="s">
        <v>90</v>
      </c>
      <c r="AF205" t="b">
        <v>1</v>
      </c>
      <c r="AG205">
        <v>790000</v>
      </c>
      <c r="AH205">
        <v>720681.94</v>
      </c>
      <c r="AI205">
        <v>0.7762</v>
      </c>
      <c r="AJ205">
        <v>0.74050000000000005</v>
      </c>
      <c r="AK205">
        <v>33</v>
      </c>
      <c r="AL205" t="s">
        <v>120</v>
      </c>
      <c r="AM205">
        <v>513000</v>
      </c>
      <c r="AN205">
        <v>0.48110000000000003</v>
      </c>
      <c r="AO205">
        <v>756</v>
      </c>
      <c r="AP205">
        <v>744</v>
      </c>
      <c r="AQ205" t="s">
        <v>91</v>
      </c>
      <c r="AR205" t="s">
        <v>252</v>
      </c>
      <c r="AS205">
        <v>1</v>
      </c>
      <c r="AT205">
        <v>1.6199999999999999E-2</v>
      </c>
      <c r="AU205">
        <v>0.57410000000000005</v>
      </c>
      <c r="AV205">
        <v>595398.35</v>
      </c>
      <c r="AW205">
        <v>5537.45</v>
      </c>
      <c r="AX205" t="b">
        <v>0</v>
      </c>
      <c r="AY205" t="b">
        <v>0</v>
      </c>
      <c r="AZ205" t="s">
        <v>80</v>
      </c>
      <c r="BA205">
        <v>0</v>
      </c>
      <c r="BB205">
        <v>0</v>
      </c>
      <c r="BC205">
        <v>0</v>
      </c>
      <c r="BD205">
        <v>0</v>
      </c>
      <c r="BE205" t="s">
        <v>108</v>
      </c>
      <c r="BF205" t="b">
        <v>1</v>
      </c>
    </row>
    <row r="206" spans="1:58" x14ac:dyDescent="0.3">
      <c r="A206" t="s">
        <v>583</v>
      </c>
      <c r="B206" t="s">
        <v>67</v>
      </c>
      <c r="C206" t="s">
        <v>584</v>
      </c>
      <c r="D206" t="s">
        <v>95</v>
      </c>
      <c r="E206" t="s">
        <v>96</v>
      </c>
      <c r="F206" t="s">
        <v>71</v>
      </c>
      <c r="G206" s="1">
        <v>44548</v>
      </c>
      <c r="H206" s="1">
        <v>45596</v>
      </c>
      <c r="I206" s="1">
        <v>47068</v>
      </c>
      <c r="J206">
        <v>1058300</v>
      </c>
      <c r="K206">
        <v>84</v>
      </c>
      <c r="L206">
        <v>50</v>
      </c>
      <c r="M206">
        <v>34</v>
      </c>
      <c r="N206">
        <v>10.029999999999999</v>
      </c>
      <c r="O206">
        <v>17585.439999999999</v>
      </c>
      <c r="P206" t="s">
        <v>72</v>
      </c>
      <c r="Q206">
        <v>630614.81000000006</v>
      </c>
      <c r="R206">
        <v>17585.439999999999</v>
      </c>
      <c r="S206">
        <v>13560.02</v>
      </c>
      <c r="T206" s="1">
        <v>45566</v>
      </c>
      <c r="U206" t="s">
        <v>87</v>
      </c>
      <c r="V206">
        <v>7</v>
      </c>
      <c r="W206">
        <v>34</v>
      </c>
      <c r="X206">
        <v>33</v>
      </c>
      <c r="Y206">
        <v>1</v>
      </c>
      <c r="Z206">
        <v>0</v>
      </c>
      <c r="AA206">
        <v>0</v>
      </c>
      <c r="AB206" t="s">
        <v>164</v>
      </c>
      <c r="AC206" t="s">
        <v>165</v>
      </c>
      <c r="AD206">
        <v>2021</v>
      </c>
      <c r="AE206" t="s">
        <v>90</v>
      </c>
      <c r="AF206" t="b">
        <v>1</v>
      </c>
      <c r="AG206">
        <v>1499000</v>
      </c>
      <c r="AH206">
        <v>802150.77</v>
      </c>
      <c r="AI206">
        <v>0.70599999999999996</v>
      </c>
      <c r="AJ206">
        <v>0.71060000000000001</v>
      </c>
      <c r="AK206">
        <v>49</v>
      </c>
      <c r="AL206" t="s">
        <v>106</v>
      </c>
      <c r="AM206">
        <v>1195000</v>
      </c>
      <c r="AN206">
        <v>0.17660000000000001</v>
      </c>
      <c r="AO206">
        <v>698</v>
      </c>
      <c r="AP206">
        <v>662</v>
      </c>
      <c r="AQ206" t="s">
        <v>145</v>
      </c>
      <c r="AR206" t="s">
        <v>176</v>
      </c>
      <c r="AS206">
        <v>1</v>
      </c>
      <c r="AT206">
        <v>1.9699999999999999E-2</v>
      </c>
      <c r="AU206">
        <v>0.35649999999999998</v>
      </c>
      <c r="AV206">
        <v>635852.24</v>
      </c>
      <c r="AW206">
        <v>4465.62</v>
      </c>
      <c r="AX206" t="b">
        <v>0</v>
      </c>
      <c r="AY206" t="b">
        <v>0</v>
      </c>
      <c r="AZ206" t="s">
        <v>80</v>
      </c>
      <c r="BA206">
        <v>0</v>
      </c>
      <c r="BB206">
        <v>0</v>
      </c>
      <c r="BC206">
        <v>0</v>
      </c>
      <c r="BD206">
        <v>0</v>
      </c>
      <c r="BE206" t="s">
        <v>108</v>
      </c>
      <c r="BF206" t="b">
        <v>0</v>
      </c>
    </row>
    <row r="207" spans="1:58" x14ac:dyDescent="0.3">
      <c r="A207" t="s">
        <v>585</v>
      </c>
      <c r="B207" t="s">
        <v>67</v>
      </c>
      <c r="C207" t="s">
        <v>586</v>
      </c>
      <c r="D207" t="s">
        <v>95</v>
      </c>
      <c r="E207" t="s">
        <v>96</v>
      </c>
      <c r="F207" t="s">
        <v>71</v>
      </c>
      <c r="G207" s="1">
        <v>45117</v>
      </c>
      <c r="H207" s="1">
        <v>45596</v>
      </c>
      <c r="I207" s="1">
        <v>46917</v>
      </c>
      <c r="J207">
        <v>1188200</v>
      </c>
      <c r="K207">
        <v>60</v>
      </c>
      <c r="L207">
        <v>45</v>
      </c>
      <c r="M207">
        <v>15</v>
      </c>
      <c r="N207">
        <v>7.56</v>
      </c>
      <c r="O207">
        <v>23842.98</v>
      </c>
      <c r="P207" t="s">
        <v>72</v>
      </c>
      <c r="Q207">
        <v>886303.46</v>
      </c>
      <c r="R207">
        <v>23842.98</v>
      </c>
      <c r="S207">
        <v>23645.41</v>
      </c>
      <c r="T207" s="1">
        <v>45566</v>
      </c>
      <c r="U207" t="s">
        <v>73</v>
      </c>
      <c r="V207">
        <v>0</v>
      </c>
      <c r="W207">
        <v>15</v>
      </c>
      <c r="X207">
        <v>15</v>
      </c>
      <c r="Y207">
        <v>0</v>
      </c>
      <c r="Z207">
        <v>0</v>
      </c>
      <c r="AA207">
        <v>0</v>
      </c>
      <c r="AB207" t="s">
        <v>104</v>
      </c>
      <c r="AC207" t="s">
        <v>105</v>
      </c>
      <c r="AD207">
        <v>2023</v>
      </c>
      <c r="AE207" t="s">
        <v>90</v>
      </c>
      <c r="AF207" t="b">
        <v>1</v>
      </c>
      <c r="AG207">
        <v>1612000</v>
      </c>
      <c r="AH207">
        <v>1220571.3899999999</v>
      </c>
      <c r="AI207">
        <v>0.73709999999999998</v>
      </c>
      <c r="AJ207">
        <v>0.67049999999999998</v>
      </c>
      <c r="AK207">
        <v>50</v>
      </c>
      <c r="AL207" t="s">
        <v>120</v>
      </c>
      <c r="AM207">
        <v>4288000</v>
      </c>
      <c r="AN207">
        <v>6.6699999999999995E-2</v>
      </c>
      <c r="AO207">
        <v>838</v>
      </c>
      <c r="AP207">
        <v>862</v>
      </c>
      <c r="AQ207" t="s">
        <v>78</v>
      </c>
      <c r="AR207" t="s">
        <v>133</v>
      </c>
      <c r="AS207">
        <v>1</v>
      </c>
      <c r="AT207">
        <v>2.2599999999999999E-2</v>
      </c>
      <c r="AU207">
        <v>0.50849999999999995</v>
      </c>
      <c r="AV207">
        <v>905004.66</v>
      </c>
      <c r="AW207">
        <v>10400.4</v>
      </c>
      <c r="AX207" t="b">
        <v>0</v>
      </c>
      <c r="AY207" t="b">
        <v>0</v>
      </c>
      <c r="AZ207" t="s">
        <v>80</v>
      </c>
      <c r="BA207">
        <v>0</v>
      </c>
      <c r="BB207">
        <v>0</v>
      </c>
      <c r="BC207">
        <v>0</v>
      </c>
      <c r="BD207">
        <v>0</v>
      </c>
      <c r="BE207" t="s">
        <v>108</v>
      </c>
      <c r="BF207" t="b">
        <v>1</v>
      </c>
    </row>
    <row r="208" spans="1:58" x14ac:dyDescent="0.3">
      <c r="A208" t="s">
        <v>587</v>
      </c>
      <c r="B208" t="s">
        <v>67</v>
      </c>
      <c r="C208" t="s">
        <v>588</v>
      </c>
      <c r="D208" t="s">
        <v>69</v>
      </c>
      <c r="E208" t="s">
        <v>70</v>
      </c>
      <c r="F208" t="s">
        <v>71</v>
      </c>
      <c r="G208" s="1">
        <v>45472</v>
      </c>
      <c r="H208" s="1">
        <v>45596</v>
      </c>
      <c r="I208" s="1">
        <v>47632</v>
      </c>
      <c r="J208">
        <v>416000</v>
      </c>
      <c r="K208">
        <v>72</v>
      </c>
      <c r="L208">
        <v>68</v>
      </c>
      <c r="M208">
        <v>4</v>
      </c>
      <c r="N208">
        <v>9.91</v>
      </c>
      <c r="O208">
        <v>7687.88</v>
      </c>
      <c r="P208" t="s">
        <v>72</v>
      </c>
      <c r="Q208">
        <v>367278.61</v>
      </c>
      <c r="R208">
        <v>7687.88</v>
      </c>
      <c r="S208">
        <v>7681.87</v>
      </c>
      <c r="T208" s="1">
        <v>45570</v>
      </c>
      <c r="U208" t="s">
        <v>73</v>
      </c>
      <c r="V208">
        <v>0</v>
      </c>
      <c r="W208">
        <v>4</v>
      </c>
      <c r="X208">
        <v>4</v>
      </c>
      <c r="Y208">
        <v>0</v>
      </c>
      <c r="Z208">
        <v>0</v>
      </c>
      <c r="AA208">
        <v>0</v>
      </c>
      <c r="AB208" t="s">
        <v>111</v>
      </c>
      <c r="AC208" t="s">
        <v>197</v>
      </c>
      <c r="AD208">
        <v>2024</v>
      </c>
      <c r="AE208" t="s">
        <v>99</v>
      </c>
      <c r="AF208" t="b">
        <v>1</v>
      </c>
      <c r="AG208">
        <v>487000</v>
      </c>
      <c r="AH208">
        <v>504706.16</v>
      </c>
      <c r="AI208">
        <v>0.85419999999999996</v>
      </c>
      <c r="AJ208">
        <v>0.79220000000000002</v>
      </c>
      <c r="AK208">
        <v>59</v>
      </c>
      <c r="AL208" t="s">
        <v>106</v>
      </c>
      <c r="AM208">
        <v>4355000</v>
      </c>
      <c r="AN208">
        <v>2.12E-2</v>
      </c>
      <c r="AO208">
        <v>833</v>
      </c>
      <c r="AP208">
        <v>842</v>
      </c>
      <c r="AQ208" t="s">
        <v>100</v>
      </c>
      <c r="AR208" t="s">
        <v>101</v>
      </c>
      <c r="AS208">
        <v>1</v>
      </c>
      <c r="AT208">
        <v>1.7399999999999999E-2</v>
      </c>
      <c r="AU208">
        <v>0.57479999999999998</v>
      </c>
      <c r="AV208">
        <v>379528.39</v>
      </c>
      <c r="AW208">
        <v>3795.86</v>
      </c>
      <c r="AX208" t="b">
        <v>0</v>
      </c>
      <c r="AY208" t="b">
        <v>0</v>
      </c>
      <c r="AZ208" t="s">
        <v>80</v>
      </c>
      <c r="BA208">
        <v>0</v>
      </c>
      <c r="BB208">
        <v>0</v>
      </c>
      <c r="BC208">
        <v>0</v>
      </c>
      <c r="BD208">
        <v>0</v>
      </c>
      <c r="BE208" t="s">
        <v>108</v>
      </c>
      <c r="BF208" t="b">
        <v>1</v>
      </c>
    </row>
    <row r="209" spans="1:58" x14ac:dyDescent="0.3">
      <c r="A209" t="s">
        <v>589</v>
      </c>
      <c r="B209" t="s">
        <v>67</v>
      </c>
      <c r="C209" t="s">
        <v>590</v>
      </c>
      <c r="D209" t="s">
        <v>95</v>
      </c>
      <c r="E209" t="s">
        <v>96</v>
      </c>
      <c r="F209" t="s">
        <v>71</v>
      </c>
      <c r="G209" s="1">
        <v>45208</v>
      </c>
      <c r="H209" s="1">
        <v>45596</v>
      </c>
      <c r="I209" s="1">
        <v>47008</v>
      </c>
      <c r="J209">
        <v>870000</v>
      </c>
      <c r="K209">
        <v>60</v>
      </c>
      <c r="L209">
        <v>48</v>
      </c>
      <c r="M209">
        <v>12</v>
      </c>
      <c r="N209">
        <v>10</v>
      </c>
      <c r="O209">
        <v>18484.93</v>
      </c>
      <c r="P209" t="s">
        <v>72</v>
      </c>
      <c r="Q209">
        <v>642958.41</v>
      </c>
      <c r="R209">
        <v>18484.93</v>
      </c>
      <c r="S209">
        <v>19037.61</v>
      </c>
      <c r="T209" s="1">
        <v>45589</v>
      </c>
      <c r="U209" t="s">
        <v>73</v>
      </c>
      <c r="V209">
        <v>0</v>
      </c>
      <c r="W209">
        <v>12</v>
      </c>
      <c r="X209">
        <v>12</v>
      </c>
      <c r="Y209">
        <v>0</v>
      </c>
      <c r="Z209">
        <v>0</v>
      </c>
      <c r="AA209">
        <v>0</v>
      </c>
      <c r="AB209" t="s">
        <v>88</v>
      </c>
      <c r="AC209" t="s">
        <v>89</v>
      </c>
      <c r="AD209">
        <v>2023</v>
      </c>
      <c r="AE209" t="s">
        <v>99</v>
      </c>
      <c r="AF209" t="b">
        <v>1</v>
      </c>
      <c r="AG209">
        <v>1199000</v>
      </c>
      <c r="AH209">
        <v>1123776.8400000001</v>
      </c>
      <c r="AI209">
        <v>0.72560000000000002</v>
      </c>
      <c r="AJ209">
        <v>0.62649999999999995</v>
      </c>
      <c r="AK209">
        <v>55</v>
      </c>
      <c r="AL209" t="s">
        <v>132</v>
      </c>
      <c r="AM209">
        <v>1278000</v>
      </c>
      <c r="AN209">
        <v>0.1736</v>
      </c>
      <c r="AO209">
        <v>679</v>
      </c>
      <c r="AP209">
        <v>708</v>
      </c>
      <c r="AQ209" t="s">
        <v>100</v>
      </c>
      <c r="AR209" t="s">
        <v>121</v>
      </c>
      <c r="AS209">
        <v>1</v>
      </c>
      <c r="AT209">
        <v>2.4199999999999999E-2</v>
      </c>
      <c r="AU209">
        <v>0.61209999999999998</v>
      </c>
      <c r="AV209">
        <v>662385.06000000006</v>
      </c>
      <c r="AW209">
        <v>9811.7900000000009</v>
      </c>
      <c r="AX209" t="b">
        <v>0</v>
      </c>
      <c r="AY209" t="b">
        <v>0</v>
      </c>
      <c r="AZ209" t="s">
        <v>80</v>
      </c>
      <c r="BA209">
        <v>0</v>
      </c>
      <c r="BB209">
        <v>0</v>
      </c>
      <c r="BC209">
        <v>0</v>
      </c>
      <c r="BD209">
        <v>0</v>
      </c>
      <c r="BE209" t="s">
        <v>134</v>
      </c>
      <c r="BF209" t="b">
        <v>1</v>
      </c>
    </row>
    <row r="210" spans="1:58" x14ac:dyDescent="0.3">
      <c r="A210" t="s">
        <v>591</v>
      </c>
      <c r="B210" t="s">
        <v>67</v>
      </c>
      <c r="C210" t="s">
        <v>592</v>
      </c>
      <c r="D210" t="s">
        <v>69</v>
      </c>
      <c r="E210" t="s">
        <v>70</v>
      </c>
      <c r="F210" t="s">
        <v>124</v>
      </c>
      <c r="G210" s="1">
        <v>45447</v>
      </c>
      <c r="H210" s="1">
        <v>45596</v>
      </c>
      <c r="I210" s="1">
        <v>46527</v>
      </c>
      <c r="J210">
        <v>514300</v>
      </c>
      <c r="K210">
        <v>36</v>
      </c>
      <c r="L210">
        <v>32</v>
      </c>
      <c r="M210">
        <v>4</v>
      </c>
      <c r="N210">
        <v>13.6</v>
      </c>
      <c r="O210">
        <v>17477.8</v>
      </c>
      <c r="P210" t="s">
        <v>72</v>
      </c>
      <c r="Q210">
        <v>473909.33</v>
      </c>
      <c r="R210">
        <v>17477.8</v>
      </c>
      <c r="S210">
        <v>17234.240000000002</v>
      </c>
      <c r="T210" s="1">
        <v>45581</v>
      </c>
      <c r="U210" t="s">
        <v>73</v>
      </c>
      <c r="V210">
        <v>0</v>
      </c>
      <c r="W210">
        <v>4</v>
      </c>
      <c r="X210">
        <v>4</v>
      </c>
      <c r="Y210">
        <v>0</v>
      </c>
      <c r="Z210">
        <v>0</v>
      </c>
      <c r="AA210">
        <v>0</v>
      </c>
      <c r="AB210" t="s">
        <v>104</v>
      </c>
      <c r="AC210" t="s">
        <v>105</v>
      </c>
      <c r="AD210">
        <v>2024</v>
      </c>
      <c r="AE210" t="s">
        <v>99</v>
      </c>
      <c r="AF210" t="b">
        <v>1</v>
      </c>
      <c r="AG210">
        <v>781000</v>
      </c>
      <c r="AH210">
        <v>691705.75</v>
      </c>
      <c r="AI210">
        <v>0.65849999999999997</v>
      </c>
      <c r="AJ210">
        <v>0.63739999999999997</v>
      </c>
      <c r="AK210">
        <v>40</v>
      </c>
      <c r="AL210" t="s">
        <v>120</v>
      </c>
      <c r="AM210">
        <v>3881000</v>
      </c>
      <c r="AN210">
        <v>5.3999999999999999E-2</v>
      </c>
      <c r="AO210">
        <v>777</v>
      </c>
      <c r="AP210">
        <v>739</v>
      </c>
      <c r="AQ210" t="s">
        <v>100</v>
      </c>
      <c r="AR210" t="s">
        <v>101</v>
      </c>
      <c r="AS210">
        <v>1</v>
      </c>
      <c r="AT210">
        <v>1.8100000000000002E-2</v>
      </c>
      <c r="AU210">
        <v>0.50149999999999995</v>
      </c>
      <c r="AV210">
        <v>475928.99</v>
      </c>
      <c r="AW210">
        <v>4320.08</v>
      </c>
      <c r="AX210" t="b">
        <v>0</v>
      </c>
      <c r="AY210" t="b">
        <v>0</v>
      </c>
      <c r="AZ210" t="s">
        <v>80</v>
      </c>
      <c r="BA210">
        <v>0</v>
      </c>
      <c r="BB210">
        <v>0</v>
      </c>
      <c r="BC210">
        <v>0</v>
      </c>
      <c r="BD210">
        <v>0</v>
      </c>
      <c r="BE210" t="s">
        <v>108</v>
      </c>
      <c r="BF210" t="b">
        <v>0</v>
      </c>
    </row>
    <row r="211" spans="1:58" x14ac:dyDescent="0.3">
      <c r="A211" t="s">
        <v>593</v>
      </c>
      <c r="B211" t="s">
        <v>67</v>
      </c>
      <c r="C211" t="s">
        <v>594</v>
      </c>
      <c r="D211" t="s">
        <v>84</v>
      </c>
      <c r="E211" t="s">
        <v>85</v>
      </c>
      <c r="F211" t="s">
        <v>86</v>
      </c>
      <c r="G211" s="1">
        <v>45281</v>
      </c>
      <c r="H211" s="1">
        <v>45596</v>
      </c>
      <c r="I211" s="1">
        <v>46361</v>
      </c>
      <c r="J211">
        <v>2354300</v>
      </c>
      <c r="K211">
        <v>36</v>
      </c>
      <c r="L211">
        <v>26</v>
      </c>
      <c r="M211">
        <v>10</v>
      </c>
      <c r="N211">
        <v>10.6</v>
      </c>
      <c r="O211">
        <v>76631.56</v>
      </c>
      <c r="P211" t="s">
        <v>139</v>
      </c>
      <c r="Q211">
        <v>1726721.59</v>
      </c>
      <c r="R211">
        <v>76631.56</v>
      </c>
      <c r="S211">
        <v>75203.88</v>
      </c>
      <c r="T211" s="1">
        <v>45574</v>
      </c>
      <c r="U211" t="s">
        <v>73</v>
      </c>
      <c r="V211">
        <v>0</v>
      </c>
      <c r="W211">
        <v>10</v>
      </c>
      <c r="X211">
        <v>10</v>
      </c>
      <c r="Y211">
        <v>0</v>
      </c>
      <c r="Z211">
        <v>0</v>
      </c>
      <c r="AA211">
        <v>0</v>
      </c>
      <c r="AB211" t="s">
        <v>174</v>
      </c>
      <c r="AC211" t="s">
        <v>305</v>
      </c>
      <c r="AD211">
        <v>2019</v>
      </c>
      <c r="AE211" t="s">
        <v>166</v>
      </c>
      <c r="AF211" t="b">
        <v>0</v>
      </c>
      <c r="AG211">
        <v>2523000</v>
      </c>
      <c r="AH211">
        <v>2001724.97</v>
      </c>
      <c r="AI211">
        <v>0.93310000000000004</v>
      </c>
      <c r="AJ211">
        <v>0.77769999999999995</v>
      </c>
      <c r="AK211">
        <v>55</v>
      </c>
      <c r="AL211" t="s">
        <v>132</v>
      </c>
      <c r="AM211">
        <v>1218000</v>
      </c>
      <c r="AN211">
        <v>0.755</v>
      </c>
      <c r="AO211">
        <v>847</v>
      </c>
      <c r="AP211">
        <v>818</v>
      </c>
      <c r="AQ211" t="s">
        <v>127</v>
      </c>
      <c r="AR211" t="s">
        <v>128</v>
      </c>
      <c r="AS211">
        <v>1</v>
      </c>
      <c r="AT211">
        <v>1.9E-2</v>
      </c>
      <c r="AU211">
        <v>0.61570000000000003</v>
      </c>
      <c r="AV211">
        <v>1787225.09</v>
      </c>
      <c r="AW211">
        <v>20907.5</v>
      </c>
      <c r="AX211" t="b">
        <v>0</v>
      </c>
      <c r="AY211" t="b">
        <v>0</v>
      </c>
      <c r="AZ211" t="s">
        <v>80</v>
      </c>
      <c r="BA211">
        <v>0</v>
      </c>
      <c r="BB211">
        <v>0</v>
      </c>
      <c r="BC211">
        <v>0</v>
      </c>
      <c r="BD211">
        <v>0</v>
      </c>
      <c r="BE211" t="s">
        <v>108</v>
      </c>
      <c r="BF211" t="b">
        <v>0</v>
      </c>
    </row>
    <row r="212" spans="1:58" x14ac:dyDescent="0.3">
      <c r="A212" t="s">
        <v>595</v>
      </c>
      <c r="B212" t="s">
        <v>67</v>
      </c>
      <c r="C212" t="s">
        <v>596</v>
      </c>
      <c r="D212" t="s">
        <v>69</v>
      </c>
      <c r="E212" t="s">
        <v>70</v>
      </c>
      <c r="F212" t="s">
        <v>86</v>
      </c>
      <c r="G212" s="1">
        <v>44769</v>
      </c>
      <c r="H212" s="1">
        <v>45596</v>
      </c>
      <c r="I212" s="1">
        <v>47289</v>
      </c>
      <c r="J212">
        <v>2311200</v>
      </c>
      <c r="K212">
        <v>84</v>
      </c>
      <c r="L212">
        <v>57</v>
      </c>
      <c r="M212">
        <v>27</v>
      </c>
      <c r="N212">
        <v>13.02</v>
      </c>
      <c r="O212">
        <v>42070.400000000001</v>
      </c>
      <c r="P212" t="s">
        <v>72</v>
      </c>
      <c r="Q212">
        <v>1564872.72</v>
      </c>
      <c r="R212">
        <v>42070.400000000001</v>
      </c>
      <c r="S212">
        <v>43468.1</v>
      </c>
      <c r="T212" s="1">
        <v>45577</v>
      </c>
      <c r="U212" t="s">
        <v>73</v>
      </c>
      <c r="V212">
        <v>0</v>
      </c>
      <c r="W212">
        <v>27</v>
      </c>
      <c r="X212">
        <v>27</v>
      </c>
      <c r="Y212">
        <v>0</v>
      </c>
      <c r="Z212">
        <v>0</v>
      </c>
      <c r="AA212">
        <v>0</v>
      </c>
      <c r="AB212" t="s">
        <v>97</v>
      </c>
      <c r="AC212" t="s">
        <v>98</v>
      </c>
      <c r="AD212">
        <v>2022</v>
      </c>
      <c r="AE212" t="s">
        <v>166</v>
      </c>
      <c r="AF212" t="b">
        <v>1</v>
      </c>
      <c r="AG212">
        <v>2538000</v>
      </c>
      <c r="AH212">
        <v>1793411.84</v>
      </c>
      <c r="AI212">
        <v>0.91069999999999995</v>
      </c>
      <c r="AJ212">
        <v>0.91210000000000002</v>
      </c>
      <c r="AK212">
        <v>46</v>
      </c>
      <c r="AL212" t="s">
        <v>120</v>
      </c>
      <c r="AM212">
        <v>3944000</v>
      </c>
      <c r="AN212">
        <v>0.128</v>
      </c>
      <c r="AO212">
        <v>727</v>
      </c>
      <c r="AP212">
        <v>687</v>
      </c>
      <c r="AQ212" t="s">
        <v>145</v>
      </c>
      <c r="AR212" t="s">
        <v>203</v>
      </c>
      <c r="AS212">
        <v>1</v>
      </c>
      <c r="AT212">
        <v>2.0299999999999999E-2</v>
      </c>
      <c r="AU212">
        <v>0.57709999999999995</v>
      </c>
      <c r="AV212">
        <v>1577393.84</v>
      </c>
      <c r="AW212">
        <v>18479.37</v>
      </c>
      <c r="AX212" t="b">
        <v>0</v>
      </c>
      <c r="AY212" t="b">
        <v>0</v>
      </c>
      <c r="AZ212" t="s">
        <v>80</v>
      </c>
      <c r="BA212">
        <v>0</v>
      </c>
      <c r="BB212">
        <v>0</v>
      </c>
      <c r="BC212">
        <v>0</v>
      </c>
      <c r="BD212">
        <v>100539.68</v>
      </c>
      <c r="BE212" t="s">
        <v>81</v>
      </c>
      <c r="BF212" t="b">
        <v>1</v>
      </c>
    </row>
    <row r="213" spans="1:58" x14ac:dyDescent="0.3">
      <c r="A213" t="s">
        <v>597</v>
      </c>
      <c r="B213" t="s">
        <v>67</v>
      </c>
      <c r="C213" t="s">
        <v>598</v>
      </c>
      <c r="D213" t="s">
        <v>95</v>
      </c>
      <c r="E213" t="s">
        <v>96</v>
      </c>
      <c r="F213" t="s">
        <v>71</v>
      </c>
      <c r="G213" s="1">
        <v>45231</v>
      </c>
      <c r="H213" s="1">
        <v>45596</v>
      </c>
      <c r="I213" s="1">
        <v>47391</v>
      </c>
      <c r="J213">
        <v>932500</v>
      </c>
      <c r="K213">
        <v>72</v>
      </c>
      <c r="L213">
        <v>61</v>
      </c>
      <c r="M213">
        <v>11</v>
      </c>
      <c r="N213">
        <v>9.59</v>
      </c>
      <c r="O213">
        <v>17083.169999999998</v>
      </c>
      <c r="P213" t="s">
        <v>116</v>
      </c>
      <c r="Q213">
        <v>798352.84</v>
      </c>
      <c r="R213">
        <v>17083.169999999998</v>
      </c>
      <c r="S213">
        <v>17444.72</v>
      </c>
      <c r="T213" s="1">
        <v>45570</v>
      </c>
      <c r="U213" t="s">
        <v>73</v>
      </c>
      <c r="V213">
        <v>0</v>
      </c>
      <c r="W213">
        <v>11</v>
      </c>
      <c r="X213">
        <v>11</v>
      </c>
      <c r="Y213">
        <v>0</v>
      </c>
      <c r="Z213">
        <v>0</v>
      </c>
      <c r="AA213">
        <v>0</v>
      </c>
      <c r="AB213" t="s">
        <v>74</v>
      </c>
      <c r="AC213" t="s">
        <v>212</v>
      </c>
      <c r="AD213">
        <v>2020</v>
      </c>
      <c r="AE213" t="s">
        <v>119</v>
      </c>
      <c r="AF213" t="b">
        <v>0</v>
      </c>
      <c r="AG213">
        <v>1512000</v>
      </c>
      <c r="AH213">
        <v>1202684.1499999999</v>
      </c>
      <c r="AI213">
        <v>0.61670000000000003</v>
      </c>
      <c r="AJ213">
        <v>0.60829999999999995</v>
      </c>
      <c r="AK213">
        <v>43</v>
      </c>
      <c r="AL213" t="s">
        <v>77</v>
      </c>
      <c r="AM213">
        <v>4085000</v>
      </c>
      <c r="AN213">
        <v>5.0200000000000002E-2</v>
      </c>
      <c r="AO213">
        <v>798</v>
      </c>
      <c r="AP213">
        <v>820</v>
      </c>
      <c r="AQ213" t="s">
        <v>78</v>
      </c>
      <c r="AR213" t="s">
        <v>79</v>
      </c>
      <c r="AS213">
        <v>1</v>
      </c>
      <c r="AT213">
        <v>1.5299999999999999E-2</v>
      </c>
      <c r="AU213">
        <v>0.50490000000000002</v>
      </c>
      <c r="AV213">
        <v>806039.19</v>
      </c>
      <c r="AW213">
        <v>6226.63</v>
      </c>
      <c r="AX213" t="b">
        <v>0</v>
      </c>
      <c r="AY213" t="b">
        <v>0</v>
      </c>
      <c r="AZ213" t="s">
        <v>80</v>
      </c>
      <c r="BA213">
        <v>0</v>
      </c>
      <c r="BB213">
        <v>0</v>
      </c>
      <c r="BC213">
        <v>0</v>
      </c>
      <c r="BD213">
        <v>0</v>
      </c>
      <c r="BE213" t="s">
        <v>81</v>
      </c>
      <c r="BF213" t="b">
        <v>1</v>
      </c>
    </row>
    <row r="214" spans="1:58" x14ac:dyDescent="0.3">
      <c r="A214" t="s">
        <v>599</v>
      </c>
      <c r="B214" t="s">
        <v>67</v>
      </c>
      <c r="C214" t="s">
        <v>600</v>
      </c>
      <c r="D214" t="s">
        <v>69</v>
      </c>
      <c r="E214" t="s">
        <v>70</v>
      </c>
      <c r="F214" t="s">
        <v>124</v>
      </c>
      <c r="G214" s="1">
        <v>44324</v>
      </c>
      <c r="H214" s="1">
        <v>45596</v>
      </c>
      <c r="I214" s="1">
        <v>46484</v>
      </c>
      <c r="J214">
        <v>846100</v>
      </c>
      <c r="K214">
        <v>72</v>
      </c>
      <c r="L214">
        <v>31</v>
      </c>
      <c r="M214">
        <v>41</v>
      </c>
      <c r="N214">
        <v>11.62</v>
      </c>
      <c r="O214">
        <v>16374.7</v>
      </c>
      <c r="P214" t="s">
        <v>72</v>
      </c>
      <c r="Q214">
        <v>356220.96</v>
      </c>
      <c r="R214">
        <v>16374.7</v>
      </c>
      <c r="S214">
        <v>16541.07</v>
      </c>
      <c r="T214" s="1">
        <v>45570</v>
      </c>
      <c r="U214" t="s">
        <v>73</v>
      </c>
      <c r="V214">
        <v>0</v>
      </c>
      <c r="W214">
        <v>41</v>
      </c>
      <c r="X214">
        <v>41</v>
      </c>
      <c r="Y214">
        <v>0</v>
      </c>
      <c r="Z214">
        <v>0</v>
      </c>
      <c r="AA214">
        <v>0</v>
      </c>
      <c r="AB214" t="s">
        <v>174</v>
      </c>
      <c r="AC214" t="s">
        <v>305</v>
      </c>
      <c r="AD214">
        <v>2021</v>
      </c>
      <c r="AE214" t="s">
        <v>166</v>
      </c>
      <c r="AF214" t="b">
        <v>1</v>
      </c>
      <c r="AG214">
        <v>1011000</v>
      </c>
      <c r="AH214">
        <v>473562.67</v>
      </c>
      <c r="AI214">
        <v>0.83689999999999998</v>
      </c>
      <c r="AJ214">
        <v>0.69359999999999999</v>
      </c>
      <c r="AK214">
        <v>41</v>
      </c>
      <c r="AL214" t="s">
        <v>120</v>
      </c>
      <c r="AM214">
        <v>3291000</v>
      </c>
      <c r="AN214">
        <v>5.9700000000000003E-2</v>
      </c>
      <c r="AO214">
        <v>762</v>
      </c>
      <c r="AP214">
        <v>774</v>
      </c>
      <c r="AQ214" t="s">
        <v>127</v>
      </c>
      <c r="AR214" t="s">
        <v>153</v>
      </c>
      <c r="AS214">
        <v>1</v>
      </c>
      <c r="AT214">
        <v>1.9699999999999999E-2</v>
      </c>
      <c r="AU214">
        <v>0.57389999999999997</v>
      </c>
      <c r="AV214">
        <v>373035.83</v>
      </c>
      <c r="AW214">
        <v>4217.4799999999996</v>
      </c>
      <c r="AX214" t="b">
        <v>0</v>
      </c>
      <c r="AY214" t="b">
        <v>0</v>
      </c>
      <c r="AZ214" t="s">
        <v>80</v>
      </c>
      <c r="BA214">
        <v>0</v>
      </c>
      <c r="BB214">
        <v>0</v>
      </c>
      <c r="BC214">
        <v>0</v>
      </c>
      <c r="BD214">
        <v>0</v>
      </c>
      <c r="BE214" t="s">
        <v>108</v>
      </c>
      <c r="BF214" t="b">
        <v>0</v>
      </c>
    </row>
    <row r="215" spans="1:58" x14ac:dyDescent="0.3">
      <c r="A215" t="s">
        <v>601</v>
      </c>
      <c r="B215" t="s">
        <v>67</v>
      </c>
      <c r="C215" t="s">
        <v>602</v>
      </c>
      <c r="D215" t="s">
        <v>84</v>
      </c>
      <c r="E215" t="s">
        <v>85</v>
      </c>
      <c r="F215" t="s">
        <v>124</v>
      </c>
      <c r="G215" s="1">
        <v>44953</v>
      </c>
      <c r="H215" s="1">
        <v>45596</v>
      </c>
      <c r="I215" s="1">
        <v>46033</v>
      </c>
      <c r="J215">
        <v>375000</v>
      </c>
      <c r="K215">
        <v>36</v>
      </c>
      <c r="L215">
        <v>15</v>
      </c>
      <c r="M215">
        <v>21</v>
      </c>
      <c r="N215">
        <v>13.04</v>
      </c>
      <c r="O215">
        <v>12642.46</v>
      </c>
      <c r="P215" t="s">
        <v>139</v>
      </c>
      <c r="Q215">
        <v>143956.4</v>
      </c>
      <c r="R215">
        <v>12642.46</v>
      </c>
      <c r="S215">
        <v>12648.48</v>
      </c>
      <c r="T215" s="1">
        <v>45567</v>
      </c>
      <c r="U215" t="s">
        <v>73</v>
      </c>
      <c r="V215">
        <v>0</v>
      </c>
      <c r="W215">
        <v>21</v>
      </c>
      <c r="X215">
        <v>21</v>
      </c>
      <c r="Y215">
        <v>0</v>
      </c>
      <c r="Z215">
        <v>0</v>
      </c>
      <c r="AA215">
        <v>0</v>
      </c>
      <c r="AB215" t="s">
        <v>104</v>
      </c>
      <c r="AC215" t="s">
        <v>156</v>
      </c>
      <c r="AD215">
        <v>2021</v>
      </c>
      <c r="AE215" t="s">
        <v>99</v>
      </c>
      <c r="AF215" t="b">
        <v>0</v>
      </c>
      <c r="AG215">
        <v>531000</v>
      </c>
      <c r="AH215">
        <v>417975.13</v>
      </c>
      <c r="AI215">
        <v>0.70609999999999995</v>
      </c>
      <c r="AJ215">
        <v>0.3624</v>
      </c>
      <c r="AK215">
        <v>49</v>
      </c>
      <c r="AL215" t="s">
        <v>132</v>
      </c>
      <c r="AM215">
        <v>1193000</v>
      </c>
      <c r="AN215">
        <v>0.12720000000000001</v>
      </c>
      <c r="AO215">
        <v>722</v>
      </c>
      <c r="AP215">
        <v>699</v>
      </c>
      <c r="AQ215" t="s">
        <v>100</v>
      </c>
      <c r="AR215" t="s">
        <v>107</v>
      </c>
      <c r="AS215">
        <v>1</v>
      </c>
      <c r="AT215">
        <v>2.4799999999999999E-2</v>
      </c>
      <c r="AU215">
        <v>0.58440000000000003</v>
      </c>
      <c r="AV215">
        <v>147377</v>
      </c>
      <c r="AW215">
        <v>2135.9499999999998</v>
      </c>
      <c r="AX215" t="b">
        <v>0</v>
      </c>
      <c r="AY215" t="b">
        <v>0</v>
      </c>
      <c r="AZ215" t="s">
        <v>80</v>
      </c>
      <c r="BA215">
        <v>0</v>
      </c>
      <c r="BB215">
        <v>0</v>
      </c>
      <c r="BC215">
        <v>0</v>
      </c>
      <c r="BD215">
        <v>0</v>
      </c>
      <c r="BE215" t="s">
        <v>81</v>
      </c>
      <c r="BF215" t="b">
        <v>1</v>
      </c>
    </row>
    <row r="216" spans="1:58" x14ac:dyDescent="0.3">
      <c r="A216" t="s">
        <v>603</v>
      </c>
      <c r="B216" t="s">
        <v>67</v>
      </c>
      <c r="C216" t="s">
        <v>604</v>
      </c>
      <c r="D216" t="s">
        <v>84</v>
      </c>
      <c r="E216" t="s">
        <v>85</v>
      </c>
      <c r="F216" t="s">
        <v>115</v>
      </c>
      <c r="G216" s="1">
        <v>45563</v>
      </c>
      <c r="H216" s="1">
        <v>45596</v>
      </c>
      <c r="I216" s="1">
        <v>48083</v>
      </c>
      <c r="J216">
        <v>852200</v>
      </c>
      <c r="K216">
        <v>84</v>
      </c>
      <c r="L216">
        <v>83</v>
      </c>
      <c r="M216">
        <v>1</v>
      </c>
      <c r="N216">
        <v>10.37</v>
      </c>
      <c r="O216">
        <v>14310.98</v>
      </c>
      <c r="P216" t="s">
        <v>72</v>
      </c>
      <c r="Q216">
        <v>787256.65</v>
      </c>
      <c r="R216">
        <v>14310.98</v>
      </c>
      <c r="S216">
        <v>14669.55</v>
      </c>
      <c r="T216" s="1">
        <v>45564</v>
      </c>
      <c r="U216" t="s">
        <v>73</v>
      </c>
      <c r="V216">
        <v>0</v>
      </c>
      <c r="W216">
        <v>1</v>
      </c>
      <c r="X216">
        <v>1</v>
      </c>
      <c r="Y216">
        <v>0</v>
      </c>
      <c r="Z216">
        <v>0</v>
      </c>
      <c r="AA216">
        <v>0</v>
      </c>
      <c r="AB216" t="s">
        <v>164</v>
      </c>
      <c r="AC216" t="s">
        <v>279</v>
      </c>
      <c r="AD216">
        <v>2024</v>
      </c>
      <c r="AE216" t="s">
        <v>119</v>
      </c>
      <c r="AF216" t="b">
        <v>1</v>
      </c>
      <c r="AG216">
        <v>1041000</v>
      </c>
      <c r="AH216">
        <v>1110143.6200000001</v>
      </c>
      <c r="AI216">
        <v>0.81869999999999998</v>
      </c>
      <c r="AJ216">
        <v>0.76539999999999997</v>
      </c>
      <c r="AK216">
        <v>43</v>
      </c>
      <c r="AL216" t="s">
        <v>132</v>
      </c>
      <c r="AM216">
        <v>2714000</v>
      </c>
      <c r="AN216">
        <v>6.3299999999999995E-2</v>
      </c>
      <c r="AO216">
        <v>838</v>
      </c>
      <c r="AP216">
        <v>823</v>
      </c>
      <c r="AQ216" t="s">
        <v>145</v>
      </c>
      <c r="AR216" t="s">
        <v>176</v>
      </c>
      <c r="AS216">
        <v>1</v>
      </c>
      <c r="AT216">
        <v>1.6299999999999999E-2</v>
      </c>
      <c r="AU216">
        <v>0.53559999999999997</v>
      </c>
      <c r="AV216">
        <v>809963.32</v>
      </c>
      <c r="AW216">
        <v>7071.21</v>
      </c>
      <c r="AX216" t="b">
        <v>0</v>
      </c>
      <c r="AY216" t="b">
        <v>0</v>
      </c>
      <c r="AZ216" t="s">
        <v>80</v>
      </c>
      <c r="BA216">
        <v>0</v>
      </c>
      <c r="BB216">
        <v>0</v>
      </c>
      <c r="BC216">
        <v>0</v>
      </c>
      <c r="BD216">
        <v>0</v>
      </c>
      <c r="BE216" t="s">
        <v>81</v>
      </c>
      <c r="BF216" t="b">
        <v>1</v>
      </c>
    </row>
    <row r="217" spans="1:58" x14ac:dyDescent="0.3">
      <c r="A217" t="s">
        <v>605</v>
      </c>
      <c r="B217" t="s">
        <v>67</v>
      </c>
      <c r="C217" t="s">
        <v>606</v>
      </c>
      <c r="D217" t="s">
        <v>69</v>
      </c>
      <c r="E217" t="s">
        <v>70</v>
      </c>
      <c r="F217" t="s">
        <v>71</v>
      </c>
      <c r="G217" s="1">
        <v>44443</v>
      </c>
      <c r="H217" s="1">
        <v>45596</v>
      </c>
      <c r="I217" s="1">
        <v>46963</v>
      </c>
      <c r="J217">
        <v>2005400</v>
      </c>
      <c r="K217">
        <v>84</v>
      </c>
      <c r="L217">
        <v>47</v>
      </c>
      <c r="M217">
        <v>37</v>
      </c>
      <c r="N217">
        <v>10.61</v>
      </c>
      <c r="O217">
        <v>33927.49</v>
      </c>
      <c r="P217" t="s">
        <v>72</v>
      </c>
      <c r="Q217">
        <v>1145675.31</v>
      </c>
      <c r="R217">
        <v>33927.49</v>
      </c>
      <c r="S217">
        <v>34533.46</v>
      </c>
      <c r="T217" s="1">
        <v>45593</v>
      </c>
      <c r="U217" t="s">
        <v>73</v>
      </c>
      <c r="V217">
        <v>0</v>
      </c>
      <c r="W217">
        <v>37</v>
      </c>
      <c r="X217">
        <v>37</v>
      </c>
      <c r="Y217">
        <v>0</v>
      </c>
      <c r="Z217">
        <v>0</v>
      </c>
      <c r="AA217">
        <v>0</v>
      </c>
      <c r="AB217" t="s">
        <v>97</v>
      </c>
      <c r="AC217" t="s">
        <v>98</v>
      </c>
      <c r="AD217">
        <v>2021</v>
      </c>
      <c r="AE217" t="s">
        <v>119</v>
      </c>
      <c r="AF217" t="b">
        <v>1</v>
      </c>
      <c r="AG217">
        <v>2924000</v>
      </c>
      <c r="AH217">
        <v>1662965.55</v>
      </c>
      <c r="AI217">
        <v>0.68589999999999995</v>
      </c>
      <c r="AJ217">
        <v>0.70469999999999999</v>
      </c>
      <c r="AK217">
        <v>45</v>
      </c>
      <c r="AL217" t="s">
        <v>120</v>
      </c>
      <c r="AM217">
        <v>3068000</v>
      </c>
      <c r="AN217">
        <v>0.13270000000000001</v>
      </c>
      <c r="AO217">
        <v>775</v>
      </c>
      <c r="AP217">
        <v>727</v>
      </c>
      <c r="AQ217" t="s">
        <v>91</v>
      </c>
      <c r="AR217" t="s">
        <v>192</v>
      </c>
      <c r="AS217">
        <v>1</v>
      </c>
      <c r="AT217">
        <v>1.7399999999999999E-2</v>
      </c>
      <c r="AU217">
        <v>0.40479999999999999</v>
      </c>
      <c r="AV217">
        <v>1189686.7</v>
      </c>
      <c r="AW217">
        <v>8379.58</v>
      </c>
      <c r="AX217" t="b">
        <v>0</v>
      </c>
      <c r="AY217" t="b">
        <v>0</v>
      </c>
      <c r="AZ217" t="s">
        <v>80</v>
      </c>
      <c r="BA217">
        <v>0</v>
      </c>
      <c r="BB217">
        <v>0</v>
      </c>
      <c r="BC217">
        <v>0</v>
      </c>
      <c r="BD217">
        <v>0</v>
      </c>
      <c r="BE217" t="s">
        <v>108</v>
      </c>
      <c r="BF217" t="b">
        <v>0</v>
      </c>
    </row>
    <row r="218" spans="1:58" x14ac:dyDescent="0.3">
      <c r="A218" t="s">
        <v>607</v>
      </c>
      <c r="B218" t="s">
        <v>67</v>
      </c>
      <c r="C218" t="s">
        <v>608</v>
      </c>
      <c r="D218" t="s">
        <v>69</v>
      </c>
      <c r="E218" t="s">
        <v>70</v>
      </c>
      <c r="F218" t="s">
        <v>86</v>
      </c>
      <c r="G218" s="1">
        <v>44863</v>
      </c>
      <c r="H218" s="1">
        <v>45596</v>
      </c>
      <c r="I218" s="1">
        <v>47023</v>
      </c>
      <c r="J218">
        <v>1319400</v>
      </c>
      <c r="K218">
        <v>72</v>
      </c>
      <c r="L218">
        <v>48</v>
      </c>
      <c r="M218">
        <v>24</v>
      </c>
      <c r="N218">
        <v>13.75</v>
      </c>
      <c r="O218">
        <v>27010.9</v>
      </c>
      <c r="P218" t="s">
        <v>72</v>
      </c>
      <c r="Q218">
        <v>825671.85</v>
      </c>
      <c r="R218">
        <v>27010.9</v>
      </c>
      <c r="S218">
        <v>6582.29</v>
      </c>
      <c r="T218" s="1">
        <v>45570</v>
      </c>
      <c r="U218" t="s">
        <v>163</v>
      </c>
      <c r="V218">
        <v>104</v>
      </c>
      <c r="W218">
        <v>24</v>
      </c>
      <c r="X218">
        <v>19</v>
      </c>
      <c r="Y218">
        <v>0</v>
      </c>
      <c r="Z218">
        <v>1</v>
      </c>
      <c r="AA218">
        <v>2</v>
      </c>
      <c r="AB218" t="s">
        <v>208</v>
      </c>
      <c r="AC218" t="s">
        <v>209</v>
      </c>
      <c r="AD218">
        <v>2022</v>
      </c>
      <c r="AE218" t="s">
        <v>119</v>
      </c>
      <c r="AF218" t="b">
        <v>1</v>
      </c>
      <c r="AG218">
        <v>1853000</v>
      </c>
      <c r="AH218">
        <v>1305082.49</v>
      </c>
      <c r="AI218">
        <v>0.71199999999999997</v>
      </c>
      <c r="AJ218">
        <v>0.62580000000000002</v>
      </c>
      <c r="AK218">
        <v>31</v>
      </c>
      <c r="AL218" t="s">
        <v>132</v>
      </c>
      <c r="AM218">
        <v>2356000</v>
      </c>
      <c r="AN218">
        <v>0.1376</v>
      </c>
      <c r="AO218">
        <v>800</v>
      </c>
      <c r="AP218">
        <v>780</v>
      </c>
      <c r="AQ218" t="s">
        <v>127</v>
      </c>
      <c r="AR218" t="s">
        <v>215</v>
      </c>
      <c r="AS218">
        <v>3</v>
      </c>
      <c r="AT218">
        <v>0.87760000000000005</v>
      </c>
      <c r="AU218">
        <v>0.52590000000000003</v>
      </c>
      <c r="AV218">
        <v>829862.52</v>
      </c>
      <c r="AW218">
        <v>383006.32</v>
      </c>
      <c r="AX218" t="b">
        <v>0</v>
      </c>
      <c r="AY218" t="b">
        <v>0</v>
      </c>
      <c r="AZ218" t="s">
        <v>80</v>
      </c>
      <c r="BA218">
        <v>0</v>
      </c>
      <c r="BB218">
        <v>0</v>
      </c>
      <c r="BC218">
        <v>0</v>
      </c>
      <c r="BD218">
        <v>0</v>
      </c>
      <c r="BE218" t="s">
        <v>81</v>
      </c>
      <c r="BF218" t="b">
        <v>1</v>
      </c>
    </row>
    <row r="219" spans="1:58" x14ac:dyDescent="0.3">
      <c r="A219" t="s">
        <v>609</v>
      </c>
      <c r="B219" t="s">
        <v>67</v>
      </c>
      <c r="C219" t="s">
        <v>610</v>
      </c>
      <c r="D219" t="s">
        <v>69</v>
      </c>
      <c r="E219" t="s">
        <v>70</v>
      </c>
      <c r="F219" t="s">
        <v>86</v>
      </c>
      <c r="G219" s="1">
        <v>45499</v>
      </c>
      <c r="H219" s="1">
        <v>45596</v>
      </c>
      <c r="I219" s="1">
        <v>46939</v>
      </c>
      <c r="J219">
        <v>1061100</v>
      </c>
      <c r="K219">
        <v>48</v>
      </c>
      <c r="L219">
        <v>45</v>
      </c>
      <c r="M219">
        <v>3</v>
      </c>
      <c r="N219">
        <v>11.26</v>
      </c>
      <c r="O219">
        <v>27558.86</v>
      </c>
      <c r="P219" t="s">
        <v>72</v>
      </c>
      <c r="Q219">
        <v>958534.27</v>
      </c>
      <c r="R219">
        <v>27558.86</v>
      </c>
      <c r="S219">
        <v>28469.68</v>
      </c>
      <c r="T219" s="1">
        <v>45561</v>
      </c>
      <c r="U219" t="s">
        <v>73</v>
      </c>
      <c r="V219">
        <v>0</v>
      </c>
      <c r="W219">
        <v>3</v>
      </c>
      <c r="X219">
        <v>3</v>
      </c>
      <c r="Y219">
        <v>0</v>
      </c>
      <c r="Z219">
        <v>0</v>
      </c>
      <c r="AA219">
        <v>0</v>
      </c>
      <c r="AB219" t="s">
        <v>97</v>
      </c>
      <c r="AC219" t="s">
        <v>98</v>
      </c>
      <c r="AD219">
        <v>2024</v>
      </c>
      <c r="AE219" t="s">
        <v>76</v>
      </c>
      <c r="AF219" t="b">
        <v>1</v>
      </c>
      <c r="AG219">
        <v>1123000</v>
      </c>
      <c r="AH219">
        <v>1190573.98</v>
      </c>
      <c r="AI219">
        <v>0.94489999999999996</v>
      </c>
      <c r="AJ219">
        <v>0.88539999999999996</v>
      </c>
      <c r="AK219">
        <v>50</v>
      </c>
      <c r="AL219" t="s">
        <v>132</v>
      </c>
      <c r="AM219">
        <v>1608000</v>
      </c>
      <c r="AN219">
        <v>0.20569999999999999</v>
      </c>
      <c r="AO219">
        <v>808</v>
      </c>
      <c r="AP219">
        <v>795</v>
      </c>
      <c r="AQ219" t="s">
        <v>100</v>
      </c>
      <c r="AR219" t="s">
        <v>121</v>
      </c>
      <c r="AS219">
        <v>1</v>
      </c>
      <c r="AT219">
        <v>1.4500000000000001E-2</v>
      </c>
      <c r="AU219">
        <v>0.57179999999999997</v>
      </c>
      <c r="AV219">
        <v>985520.92</v>
      </c>
      <c r="AW219">
        <v>8171.05</v>
      </c>
      <c r="AX219" t="b">
        <v>0</v>
      </c>
      <c r="AY219" t="b">
        <v>0</v>
      </c>
      <c r="AZ219" t="s">
        <v>80</v>
      </c>
      <c r="BA219">
        <v>0</v>
      </c>
      <c r="BB219">
        <v>0</v>
      </c>
      <c r="BC219">
        <v>0</v>
      </c>
      <c r="BD219">
        <v>0</v>
      </c>
      <c r="BE219" t="s">
        <v>81</v>
      </c>
      <c r="BF219" t="b">
        <v>1</v>
      </c>
    </row>
    <row r="220" spans="1:58" x14ac:dyDescent="0.3">
      <c r="A220" t="s">
        <v>611</v>
      </c>
      <c r="B220" t="s">
        <v>67</v>
      </c>
      <c r="C220" t="s">
        <v>612</v>
      </c>
      <c r="D220" t="s">
        <v>84</v>
      </c>
      <c r="E220" t="s">
        <v>85</v>
      </c>
      <c r="F220" t="s">
        <v>124</v>
      </c>
      <c r="G220" s="1">
        <v>45081</v>
      </c>
      <c r="H220" s="1">
        <v>45596</v>
      </c>
      <c r="I220" s="1">
        <v>46881</v>
      </c>
      <c r="J220">
        <v>2966800</v>
      </c>
      <c r="K220">
        <v>60</v>
      </c>
      <c r="L220">
        <v>44</v>
      </c>
      <c r="M220">
        <v>16</v>
      </c>
      <c r="N220">
        <v>14.36</v>
      </c>
      <c r="O220">
        <v>69587.210000000006</v>
      </c>
      <c r="P220" t="s">
        <v>72</v>
      </c>
      <c r="Q220">
        <v>2189062.13</v>
      </c>
      <c r="R220">
        <v>69587.210000000006</v>
      </c>
      <c r="S220">
        <v>72319.009999999995</v>
      </c>
      <c r="T220" s="1">
        <v>45568</v>
      </c>
      <c r="U220" t="s">
        <v>73</v>
      </c>
      <c r="V220">
        <v>0</v>
      </c>
      <c r="W220">
        <v>16</v>
      </c>
      <c r="X220">
        <v>16</v>
      </c>
      <c r="Y220">
        <v>0</v>
      </c>
      <c r="Z220">
        <v>0</v>
      </c>
      <c r="AA220">
        <v>0</v>
      </c>
      <c r="AB220" t="s">
        <v>125</v>
      </c>
      <c r="AC220" t="s">
        <v>353</v>
      </c>
      <c r="AD220">
        <v>2023</v>
      </c>
      <c r="AE220" t="s">
        <v>119</v>
      </c>
      <c r="AF220" t="b">
        <v>1</v>
      </c>
      <c r="AG220">
        <v>3187000</v>
      </c>
      <c r="AH220">
        <v>2663805.9500000002</v>
      </c>
      <c r="AI220">
        <v>0.93089999999999995</v>
      </c>
      <c r="AJ220">
        <v>0.85009999999999997</v>
      </c>
      <c r="AK220">
        <v>38</v>
      </c>
      <c r="AL220" t="s">
        <v>106</v>
      </c>
      <c r="AM220">
        <v>2623000</v>
      </c>
      <c r="AN220">
        <v>0.31840000000000002</v>
      </c>
      <c r="AO220">
        <v>803</v>
      </c>
      <c r="AP220">
        <v>795</v>
      </c>
      <c r="AQ220" t="s">
        <v>145</v>
      </c>
      <c r="AR220" t="s">
        <v>176</v>
      </c>
      <c r="AS220">
        <v>1</v>
      </c>
      <c r="AT220">
        <v>2.3099999999999999E-2</v>
      </c>
      <c r="AU220">
        <v>0.51139999999999997</v>
      </c>
      <c r="AV220">
        <v>2275235.13</v>
      </c>
      <c r="AW220">
        <v>26878.13</v>
      </c>
      <c r="AX220" t="b">
        <v>0</v>
      </c>
      <c r="AY220" t="b">
        <v>0</v>
      </c>
      <c r="AZ220" t="s">
        <v>80</v>
      </c>
      <c r="BA220">
        <v>0</v>
      </c>
      <c r="BB220">
        <v>0</v>
      </c>
      <c r="BC220">
        <v>0</v>
      </c>
      <c r="BD220">
        <v>0</v>
      </c>
      <c r="BE220" t="s">
        <v>81</v>
      </c>
      <c r="BF220" t="b">
        <v>1</v>
      </c>
    </row>
    <row r="221" spans="1:58" x14ac:dyDescent="0.3">
      <c r="A221" t="s">
        <v>613</v>
      </c>
      <c r="B221" t="s">
        <v>67</v>
      </c>
      <c r="C221" t="s">
        <v>614</v>
      </c>
      <c r="D221" t="s">
        <v>95</v>
      </c>
      <c r="E221" t="s">
        <v>96</v>
      </c>
      <c r="F221" t="s">
        <v>71</v>
      </c>
      <c r="G221" s="1">
        <v>44919</v>
      </c>
      <c r="H221" s="1">
        <v>45596</v>
      </c>
      <c r="I221" s="1">
        <v>45999</v>
      </c>
      <c r="J221">
        <v>1569400</v>
      </c>
      <c r="K221">
        <v>36</v>
      </c>
      <c r="L221">
        <v>14</v>
      </c>
      <c r="M221">
        <v>22</v>
      </c>
      <c r="N221">
        <v>8.3699999999999992</v>
      </c>
      <c r="O221">
        <v>49447.61</v>
      </c>
      <c r="P221" t="s">
        <v>72</v>
      </c>
      <c r="Q221">
        <v>583206.89</v>
      </c>
      <c r="R221">
        <v>49447.61</v>
      </c>
      <c r="S221">
        <v>19542.14</v>
      </c>
      <c r="T221" s="1">
        <v>45561</v>
      </c>
      <c r="U221" t="s">
        <v>87</v>
      </c>
      <c r="V221">
        <v>21</v>
      </c>
      <c r="W221">
        <v>22</v>
      </c>
      <c r="X221">
        <v>21</v>
      </c>
      <c r="Y221">
        <v>2</v>
      </c>
      <c r="Z221">
        <v>0</v>
      </c>
      <c r="AA221">
        <v>0</v>
      </c>
      <c r="AB221" t="s">
        <v>174</v>
      </c>
      <c r="AC221" t="s">
        <v>175</v>
      </c>
      <c r="AD221">
        <v>2022</v>
      </c>
      <c r="AE221" t="s">
        <v>76</v>
      </c>
      <c r="AF221" t="b">
        <v>1</v>
      </c>
      <c r="AG221">
        <v>1775000</v>
      </c>
      <c r="AH221">
        <v>1226388.29</v>
      </c>
      <c r="AI221">
        <v>0.88419999999999999</v>
      </c>
      <c r="AJ221">
        <v>0.44640000000000002</v>
      </c>
      <c r="AK221">
        <v>51</v>
      </c>
      <c r="AL221" t="s">
        <v>132</v>
      </c>
      <c r="AM221">
        <v>451000</v>
      </c>
      <c r="AN221">
        <v>1.3157000000000001</v>
      </c>
      <c r="AO221">
        <v>721</v>
      </c>
      <c r="AP221">
        <v>716</v>
      </c>
      <c r="AQ221" t="s">
        <v>100</v>
      </c>
      <c r="AR221" t="s">
        <v>121</v>
      </c>
      <c r="AS221">
        <v>1</v>
      </c>
      <c r="AT221">
        <v>1.41E-2</v>
      </c>
      <c r="AU221">
        <v>0.64529999999999998</v>
      </c>
      <c r="AV221">
        <v>601823.91</v>
      </c>
      <c r="AW221">
        <v>5475.83</v>
      </c>
      <c r="AX221" t="b">
        <v>0</v>
      </c>
      <c r="AY221" t="b">
        <v>0</v>
      </c>
      <c r="AZ221" t="s">
        <v>80</v>
      </c>
      <c r="BA221">
        <v>0</v>
      </c>
      <c r="BB221">
        <v>0</v>
      </c>
      <c r="BC221">
        <v>0</v>
      </c>
      <c r="BD221">
        <v>0</v>
      </c>
      <c r="BE221" t="s">
        <v>108</v>
      </c>
      <c r="BF221" t="b">
        <v>1</v>
      </c>
    </row>
    <row r="222" spans="1:58" x14ac:dyDescent="0.3">
      <c r="A222" t="s">
        <v>615</v>
      </c>
      <c r="B222" t="s">
        <v>67</v>
      </c>
      <c r="C222" t="s">
        <v>616</v>
      </c>
      <c r="D222" t="s">
        <v>69</v>
      </c>
      <c r="E222" t="s">
        <v>70</v>
      </c>
      <c r="F222" t="s">
        <v>71</v>
      </c>
      <c r="G222" s="1">
        <v>45355</v>
      </c>
      <c r="H222" s="1">
        <v>45596</v>
      </c>
      <c r="I222" s="1">
        <v>46795</v>
      </c>
      <c r="J222">
        <v>321100</v>
      </c>
      <c r="K222">
        <v>48</v>
      </c>
      <c r="L222">
        <v>41</v>
      </c>
      <c r="M222">
        <v>7</v>
      </c>
      <c r="N222">
        <v>13.43</v>
      </c>
      <c r="O222">
        <v>8683</v>
      </c>
      <c r="P222" t="s">
        <v>139</v>
      </c>
      <c r="Q222">
        <v>247796.7</v>
      </c>
      <c r="R222">
        <v>8683</v>
      </c>
      <c r="S222">
        <v>8319.8799999999992</v>
      </c>
      <c r="T222" s="1">
        <v>45595</v>
      </c>
      <c r="U222" t="s">
        <v>73</v>
      </c>
      <c r="V222">
        <v>0</v>
      </c>
      <c r="W222">
        <v>7</v>
      </c>
      <c r="X222">
        <v>7</v>
      </c>
      <c r="Y222">
        <v>0</v>
      </c>
      <c r="Z222">
        <v>0</v>
      </c>
      <c r="AA222">
        <v>0</v>
      </c>
      <c r="AB222" t="s">
        <v>104</v>
      </c>
      <c r="AC222" t="s">
        <v>105</v>
      </c>
      <c r="AD222">
        <v>2022</v>
      </c>
      <c r="AE222" t="s">
        <v>99</v>
      </c>
      <c r="AF222" t="b">
        <v>0</v>
      </c>
      <c r="AG222">
        <v>357000</v>
      </c>
      <c r="AH222">
        <v>359076.48</v>
      </c>
      <c r="AI222">
        <v>0.89939999999999998</v>
      </c>
      <c r="AJ222">
        <v>0.75780000000000003</v>
      </c>
      <c r="AK222">
        <v>56</v>
      </c>
      <c r="AL222" t="s">
        <v>106</v>
      </c>
      <c r="AM222">
        <v>4486000</v>
      </c>
      <c r="AN222">
        <v>2.3199999999999998E-2</v>
      </c>
      <c r="AO222">
        <v>650</v>
      </c>
      <c r="AP222">
        <v>654</v>
      </c>
      <c r="AQ222" t="s">
        <v>145</v>
      </c>
      <c r="AR222" t="s">
        <v>157</v>
      </c>
      <c r="AS222">
        <v>1</v>
      </c>
      <c r="AT222">
        <v>1.46E-2</v>
      </c>
      <c r="AU222">
        <v>0.62549999999999994</v>
      </c>
      <c r="AV222">
        <v>254393.18</v>
      </c>
      <c r="AW222">
        <v>2323.19</v>
      </c>
      <c r="AX222" t="b">
        <v>0</v>
      </c>
      <c r="AY222" t="b">
        <v>0</v>
      </c>
      <c r="AZ222" t="s">
        <v>80</v>
      </c>
      <c r="BA222">
        <v>0</v>
      </c>
      <c r="BB222">
        <v>0</v>
      </c>
      <c r="BC222">
        <v>0</v>
      </c>
      <c r="BD222">
        <v>0</v>
      </c>
      <c r="BE222" t="s">
        <v>134</v>
      </c>
      <c r="BF222" t="b">
        <v>1</v>
      </c>
    </row>
    <row r="223" spans="1:58" x14ac:dyDescent="0.3">
      <c r="A223" t="s">
        <v>617</v>
      </c>
      <c r="B223" t="s">
        <v>67</v>
      </c>
      <c r="C223" t="s">
        <v>618</v>
      </c>
      <c r="D223" t="s">
        <v>84</v>
      </c>
      <c r="E223" t="s">
        <v>85</v>
      </c>
      <c r="F223" t="s">
        <v>124</v>
      </c>
      <c r="G223" s="1">
        <v>44659</v>
      </c>
      <c r="H223" s="1">
        <v>45596</v>
      </c>
      <c r="I223" s="1">
        <v>45739</v>
      </c>
      <c r="J223">
        <v>588300</v>
      </c>
      <c r="K223">
        <v>36</v>
      </c>
      <c r="L223">
        <v>6</v>
      </c>
      <c r="M223">
        <v>30</v>
      </c>
      <c r="N223">
        <v>7.7</v>
      </c>
      <c r="O223">
        <v>18353.87</v>
      </c>
      <c r="P223" t="s">
        <v>72</v>
      </c>
      <c r="Q223">
        <v>94597.89</v>
      </c>
      <c r="R223">
        <v>18353.87</v>
      </c>
      <c r="S223">
        <v>954.82</v>
      </c>
      <c r="T223" s="1">
        <v>45588</v>
      </c>
      <c r="U223" t="s">
        <v>87</v>
      </c>
      <c r="V223">
        <v>17</v>
      </c>
      <c r="W223">
        <v>30</v>
      </c>
      <c r="X223">
        <v>29</v>
      </c>
      <c r="Y223">
        <v>3</v>
      </c>
      <c r="Z223">
        <v>0</v>
      </c>
      <c r="AA223">
        <v>0</v>
      </c>
      <c r="AB223" t="s">
        <v>174</v>
      </c>
      <c r="AC223" t="s">
        <v>305</v>
      </c>
      <c r="AD223">
        <v>2022</v>
      </c>
      <c r="AE223" t="s">
        <v>76</v>
      </c>
      <c r="AF223" t="b">
        <v>1</v>
      </c>
      <c r="AG223">
        <v>830000</v>
      </c>
      <c r="AH223">
        <v>484667.12</v>
      </c>
      <c r="AI223">
        <v>0.70879999999999999</v>
      </c>
      <c r="AJ223">
        <v>0.17810000000000001</v>
      </c>
      <c r="AK223">
        <v>61</v>
      </c>
      <c r="AL223" t="s">
        <v>106</v>
      </c>
      <c r="AM223">
        <v>1687000</v>
      </c>
      <c r="AN223">
        <v>0.13059999999999999</v>
      </c>
      <c r="AO223">
        <v>771</v>
      </c>
      <c r="AP223">
        <v>751</v>
      </c>
      <c r="AQ223" t="s">
        <v>91</v>
      </c>
      <c r="AR223" t="s">
        <v>92</v>
      </c>
      <c r="AS223">
        <v>1</v>
      </c>
      <c r="AT223">
        <v>2.0899999999999998E-2</v>
      </c>
      <c r="AU223">
        <v>0.37569999999999998</v>
      </c>
      <c r="AV223">
        <v>94884.93</v>
      </c>
      <c r="AW223">
        <v>745.05</v>
      </c>
      <c r="AX223" t="b">
        <v>0</v>
      </c>
      <c r="AY223" t="b">
        <v>0</v>
      </c>
      <c r="AZ223" t="s">
        <v>80</v>
      </c>
      <c r="BA223">
        <v>0</v>
      </c>
      <c r="BB223">
        <v>0</v>
      </c>
      <c r="BC223">
        <v>0</v>
      </c>
      <c r="BD223">
        <v>17249.669999999998</v>
      </c>
      <c r="BE223" t="s">
        <v>108</v>
      </c>
      <c r="BF223" t="b">
        <v>0</v>
      </c>
    </row>
    <row r="224" spans="1:58" x14ac:dyDescent="0.3">
      <c r="A224" t="s">
        <v>619</v>
      </c>
      <c r="B224" t="s">
        <v>67</v>
      </c>
      <c r="C224" t="s">
        <v>620</v>
      </c>
      <c r="D224" t="s">
        <v>84</v>
      </c>
      <c r="E224" t="s">
        <v>85</v>
      </c>
      <c r="F224" t="s">
        <v>115</v>
      </c>
      <c r="G224" s="1">
        <v>45102</v>
      </c>
      <c r="H224" s="1">
        <v>45596</v>
      </c>
      <c r="I224" s="1">
        <v>47622</v>
      </c>
      <c r="J224">
        <v>818700</v>
      </c>
      <c r="K224">
        <v>84</v>
      </c>
      <c r="L224">
        <v>68</v>
      </c>
      <c r="M224">
        <v>16</v>
      </c>
      <c r="N224">
        <v>7.87</v>
      </c>
      <c r="O224">
        <v>12707.47</v>
      </c>
      <c r="P224" t="s">
        <v>72</v>
      </c>
      <c r="Q224">
        <v>680975.94</v>
      </c>
      <c r="R224">
        <v>12707.47</v>
      </c>
      <c r="S224">
        <v>12825.51</v>
      </c>
      <c r="T224" s="1">
        <v>45584</v>
      </c>
      <c r="U224" t="s">
        <v>73</v>
      </c>
      <c r="V224">
        <v>0</v>
      </c>
      <c r="W224">
        <v>16</v>
      </c>
      <c r="X224">
        <v>16</v>
      </c>
      <c r="Y224">
        <v>0</v>
      </c>
      <c r="Z224">
        <v>0</v>
      </c>
      <c r="AA224">
        <v>0</v>
      </c>
      <c r="AB224" t="s">
        <v>117</v>
      </c>
      <c r="AC224" t="s">
        <v>621</v>
      </c>
      <c r="AD224">
        <v>2023</v>
      </c>
      <c r="AE224" t="s">
        <v>166</v>
      </c>
      <c r="AF224" t="b">
        <v>1</v>
      </c>
      <c r="AG224">
        <v>978000</v>
      </c>
      <c r="AH224">
        <v>854132.57</v>
      </c>
      <c r="AI224">
        <v>0.83709999999999996</v>
      </c>
      <c r="AJ224">
        <v>0.86180000000000001</v>
      </c>
      <c r="AK224">
        <v>29</v>
      </c>
      <c r="AL224" t="s">
        <v>120</v>
      </c>
      <c r="AM224">
        <v>1396000</v>
      </c>
      <c r="AN224">
        <v>0.10920000000000001</v>
      </c>
      <c r="AO224">
        <v>803</v>
      </c>
      <c r="AP224">
        <v>832</v>
      </c>
      <c r="AQ224" t="s">
        <v>145</v>
      </c>
      <c r="AR224" t="s">
        <v>182</v>
      </c>
      <c r="AS224">
        <v>1</v>
      </c>
      <c r="AT224">
        <v>1.9400000000000001E-2</v>
      </c>
      <c r="AU224">
        <v>0.44850000000000001</v>
      </c>
      <c r="AV224">
        <v>687529.7</v>
      </c>
      <c r="AW224">
        <v>5982.13</v>
      </c>
      <c r="AX224" t="b">
        <v>0</v>
      </c>
      <c r="AY224" t="b">
        <v>0</v>
      </c>
      <c r="AZ224" t="s">
        <v>80</v>
      </c>
      <c r="BA224">
        <v>0</v>
      </c>
      <c r="BB224">
        <v>0</v>
      </c>
      <c r="BC224">
        <v>0</v>
      </c>
      <c r="BD224">
        <v>0</v>
      </c>
      <c r="BE224" t="s">
        <v>81</v>
      </c>
      <c r="BF224" t="b">
        <v>1</v>
      </c>
    </row>
    <row r="225" spans="1:58" x14ac:dyDescent="0.3">
      <c r="A225" t="s">
        <v>622</v>
      </c>
      <c r="B225" t="s">
        <v>67</v>
      </c>
      <c r="C225" t="s">
        <v>623</v>
      </c>
      <c r="D225" t="s">
        <v>84</v>
      </c>
      <c r="E225" t="s">
        <v>85</v>
      </c>
      <c r="F225" t="s">
        <v>71</v>
      </c>
      <c r="G225" s="1">
        <v>44455</v>
      </c>
      <c r="H225" s="1">
        <v>45596</v>
      </c>
      <c r="I225" s="1">
        <v>45895</v>
      </c>
      <c r="J225">
        <v>2082500</v>
      </c>
      <c r="K225">
        <v>48</v>
      </c>
      <c r="L225">
        <v>11</v>
      </c>
      <c r="M225">
        <v>37</v>
      </c>
      <c r="N225">
        <v>8.4600000000000009</v>
      </c>
      <c r="O225">
        <v>51290.77</v>
      </c>
      <c r="P225" t="s">
        <v>72</v>
      </c>
      <c r="Q225">
        <v>432670.47</v>
      </c>
      <c r="R225">
        <v>51290.77</v>
      </c>
      <c r="S225">
        <v>40068.79</v>
      </c>
      <c r="T225" s="1">
        <v>45584</v>
      </c>
      <c r="U225" t="s">
        <v>143</v>
      </c>
      <c r="V225">
        <v>34</v>
      </c>
      <c r="W225">
        <v>37</v>
      </c>
      <c r="X225">
        <v>33</v>
      </c>
      <c r="Y225">
        <v>2</v>
      </c>
      <c r="Z225">
        <v>0</v>
      </c>
      <c r="AA225">
        <v>0</v>
      </c>
      <c r="AB225" t="s">
        <v>97</v>
      </c>
      <c r="AC225" t="s">
        <v>152</v>
      </c>
      <c r="AD225">
        <v>2021</v>
      </c>
      <c r="AE225" t="s">
        <v>166</v>
      </c>
      <c r="AF225" t="b">
        <v>1</v>
      </c>
      <c r="AG225">
        <v>2756000</v>
      </c>
      <c r="AH225">
        <v>1619760</v>
      </c>
      <c r="AI225">
        <v>0.75560000000000005</v>
      </c>
      <c r="AJ225">
        <v>0.28239999999999998</v>
      </c>
      <c r="AK225">
        <v>44</v>
      </c>
      <c r="AL225" t="s">
        <v>120</v>
      </c>
      <c r="AM225">
        <v>2712000</v>
      </c>
      <c r="AN225">
        <v>0.22700000000000001</v>
      </c>
      <c r="AO225">
        <v>816</v>
      </c>
      <c r="AP225">
        <v>811</v>
      </c>
      <c r="AQ225" t="s">
        <v>91</v>
      </c>
      <c r="AR225" t="s">
        <v>252</v>
      </c>
      <c r="AS225">
        <v>2</v>
      </c>
      <c r="AT225">
        <v>8.8099999999999998E-2</v>
      </c>
      <c r="AU225">
        <v>0.50209999999999999</v>
      </c>
      <c r="AV225">
        <v>450738.25</v>
      </c>
      <c r="AW225">
        <v>19938.41</v>
      </c>
      <c r="AX225" t="b">
        <v>0</v>
      </c>
      <c r="AY225" t="b">
        <v>0</v>
      </c>
      <c r="AZ225" t="s">
        <v>80</v>
      </c>
      <c r="BA225">
        <v>0</v>
      </c>
      <c r="BB225">
        <v>0</v>
      </c>
      <c r="BC225">
        <v>0</v>
      </c>
      <c r="BD225">
        <v>0</v>
      </c>
      <c r="BE225" t="s">
        <v>81</v>
      </c>
      <c r="BF225" t="b">
        <v>1</v>
      </c>
    </row>
    <row r="226" spans="1:58" x14ac:dyDescent="0.3">
      <c r="A226" t="s">
        <v>624</v>
      </c>
      <c r="B226" t="s">
        <v>67</v>
      </c>
      <c r="C226" t="s">
        <v>625</v>
      </c>
      <c r="D226" t="s">
        <v>95</v>
      </c>
      <c r="E226" t="s">
        <v>96</v>
      </c>
      <c r="F226" t="s">
        <v>124</v>
      </c>
      <c r="G226" s="1">
        <v>44896</v>
      </c>
      <c r="H226" s="1">
        <v>45596</v>
      </c>
      <c r="I226" s="1">
        <v>47416</v>
      </c>
      <c r="J226">
        <v>1731800</v>
      </c>
      <c r="K226">
        <v>84</v>
      </c>
      <c r="L226">
        <v>62</v>
      </c>
      <c r="M226">
        <v>22</v>
      </c>
      <c r="N226">
        <v>11.46</v>
      </c>
      <c r="O226">
        <v>30073.15</v>
      </c>
      <c r="P226" t="s">
        <v>72</v>
      </c>
      <c r="Q226">
        <v>1214767.8600000001</v>
      </c>
      <c r="R226">
        <v>30073.15</v>
      </c>
      <c r="S226">
        <v>30237.62</v>
      </c>
      <c r="T226" s="1">
        <v>45587</v>
      </c>
      <c r="U226" t="s">
        <v>73</v>
      </c>
      <c r="V226">
        <v>0</v>
      </c>
      <c r="W226">
        <v>22</v>
      </c>
      <c r="X226">
        <v>22</v>
      </c>
      <c r="Y226">
        <v>0</v>
      </c>
      <c r="Z226">
        <v>0</v>
      </c>
      <c r="AA226">
        <v>0</v>
      </c>
      <c r="AB226" t="s">
        <v>125</v>
      </c>
      <c r="AC226" t="s">
        <v>144</v>
      </c>
      <c r="AD226">
        <v>2022</v>
      </c>
      <c r="AE226" t="s">
        <v>166</v>
      </c>
      <c r="AF226" t="b">
        <v>1</v>
      </c>
      <c r="AG226">
        <v>2419000</v>
      </c>
      <c r="AH226">
        <v>1705813.05</v>
      </c>
      <c r="AI226">
        <v>0.71589999999999998</v>
      </c>
      <c r="AJ226">
        <v>0.68230000000000002</v>
      </c>
      <c r="AK226">
        <v>49</v>
      </c>
      <c r="AL226" t="s">
        <v>106</v>
      </c>
      <c r="AM226">
        <v>2599000</v>
      </c>
      <c r="AN226">
        <v>0.1389</v>
      </c>
      <c r="AO226">
        <v>660</v>
      </c>
      <c r="AP226">
        <v>673</v>
      </c>
      <c r="AQ226" t="s">
        <v>100</v>
      </c>
      <c r="AR226" t="s">
        <v>121</v>
      </c>
      <c r="AS226">
        <v>1</v>
      </c>
      <c r="AT226">
        <v>1.6500000000000001E-2</v>
      </c>
      <c r="AU226">
        <v>0.40529999999999999</v>
      </c>
      <c r="AV226">
        <v>1274891.46</v>
      </c>
      <c r="AW226">
        <v>8525.77</v>
      </c>
      <c r="AX226" t="b">
        <v>0</v>
      </c>
      <c r="AY226" t="b">
        <v>0</v>
      </c>
      <c r="AZ226" t="s">
        <v>80</v>
      </c>
      <c r="BA226">
        <v>0</v>
      </c>
      <c r="BB226">
        <v>0</v>
      </c>
      <c r="BC226">
        <v>0</v>
      </c>
      <c r="BD226">
        <v>0</v>
      </c>
      <c r="BE226" t="s">
        <v>81</v>
      </c>
      <c r="BF226" t="b">
        <v>1</v>
      </c>
    </row>
    <row r="227" spans="1:58" x14ac:dyDescent="0.3">
      <c r="A227" t="s">
        <v>626</v>
      </c>
      <c r="B227" t="s">
        <v>67</v>
      </c>
      <c r="C227" t="s">
        <v>627</v>
      </c>
      <c r="D227" t="s">
        <v>95</v>
      </c>
      <c r="E227" t="s">
        <v>96</v>
      </c>
      <c r="F227" t="s">
        <v>71</v>
      </c>
      <c r="G227" s="1">
        <v>44595</v>
      </c>
      <c r="H227" s="1">
        <v>45596</v>
      </c>
      <c r="I227" s="1">
        <v>46395</v>
      </c>
      <c r="J227">
        <v>440400</v>
      </c>
      <c r="K227">
        <v>60</v>
      </c>
      <c r="L227">
        <v>28</v>
      </c>
      <c r="M227">
        <v>32</v>
      </c>
      <c r="N227">
        <v>13.43</v>
      </c>
      <c r="O227">
        <v>10117.66</v>
      </c>
      <c r="P227" t="s">
        <v>116</v>
      </c>
      <c r="Q227">
        <v>192550.59</v>
      </c>
      <c r="R227">
        <v>10117.66</v>
      </c>
      <c r="S227">
        <v>9677.92</v>
      </c>
      <c r="T227" s="1">
        <v>45587</v>
      </c>
      <c r="U227" t="s">
        <v>73</v>
      </c>
      <c r="V227">
        <v>0</v>
      </c>
      <c r="W227">
        <v>32</v>
      </c>
      <c r="X227">
        <v>32</v>
      </c>
      <c r="Y227">
        <v>0</v>
      </c>
      <c r="Z227">
        <v>0</v>
      </c>
      <c r="AA227">
        <v>0</v>
      </c>
      <c r="AB227" t="s">
        <v>104</v>
      </c>
      <c r="AC227" t="s">
        <v>156</v>
      </c>
      <c r="AD227">
        <v>2021</v>
      </c>
      <c r="AE227" t="s">
        <v>76</v>
      </c>
      <c r="AF227" t="b">
        <v>0</v>
      </c>
      <c r="AG227">
        <v>484000</v>
      </c>
      <c r="AH227">
        <v>320965.32</v>
      </c>
      <c r="AI227">
        <v>0.90990000000000004</v>
      </c>
      <c r="AJ227">
        <v>0.64580000000000004</v>
      </c>
      <c r="AK227">
        <v>25</v>
      </c>
      <c r="AL227" t="s">
        <v>77</v>
      </c>
      <c r="AM227">
        <v>4262000</v>
      </c>
      <c r="AN227">
        <v>2.8500000000000001E-2</v>
      </c>
      <c r="AO227">
        <v>675</v>
      </c>
      <c r="AP227">
        <v>627</v>
      </c>
      <c r="AQ227" t="s">
        <v>100</v>
      </c>
      <c r="AR227" t="s">
        <v>107</v>
      </c>
      <c r="AS227">
        <v>1</v>
      </c>
      <c r="AT227">
        <v>2.53E-2</v>
      </c>
      <c r="AU227">
        <v>0.6431</v>
      </c>
      <c r="AV227">
        <v>202155.93</v>
      </c>
      <c r="AW227">
        <v>3289.16</v>
      </c>
      <c r="AX227" t="b">
        <v>0</v>
      </c>
      <c r="AY227" t="b">
        <v>0</v>
      </c>
      <c r="AZ227" t="s">
        <v>80</v>
      </c>
      <c r="BA227">
        <v>0</v>
      </c>
      <c r="BB227">
        <v>0</v>
      </c>
      <c r="BC227">
        <v>0</v>
      </c>
      <c r="BD227">
        <v>0</v>
      </c>
      <c r="BE227" t="s">
        <v>108</v>
      </c>
      <c r="BF227" t="b">
        <v>0</v>
      </c>
    </row>
    <row r="228" spans="1:58" x14ac:dyDescent="0.3">
      <c r="A228" t="s">
        <v>628</v>
      </c>
      <c r="B228" t="s">
        <v>67</v>
      </c>
      <c r="C228" t="s">
        <v>629</v>
      </c>
      <c r="D228" t="s">
        <v>84</v>
      </c>
      <c r="E228" t="s">
        <v>85</v>
      </c>
      <c r="F228" t="s">
        <v>115</v>
      </c>
      <c r="G228" s="1">
        <v>44464</v>
      </c>
      <c r="H228" s="1">
        <v>45596</v>
      </c>
      <c r="I228" s="1">
        <v>45904</v>
      </c>
      <c r="J228">
        <v>1244100</v>
      </c>
      <c r="K228">
        <v>48</v>
      </c>
      <c r="L228">
        <v>11</v>
      </c>
      <c r="M228">
        <v>37</v>
      </c>
      <c r="N228">
        <v>13.95</v>
      </c>
      <c r="O228">
        <v>33965.67</v>
      </c>
      <c r="P228" t="s">
        <v>72</v>
      </c>
      <c r="Q228">
        <v>289229.56</v>
      </c>
      <c r="R228">
        <v>33965.67</v>
      </c>
      <c r="S228">
        <v>12615.32</v>
      </c>
      <c r="T228" s="1">
        <v>45576</v>
      </c>
      <c r="U228" t="s">
        <v>87</v>
      </c>
      <c r="V228">
        <v>19</v>
      </c>
      <c r="W228">
        <v>37</v>
      </c>
      <c r="X228">
        <v>36</v>
      </c>
      <c r="Y228">
        <v>3</v>
      </c>
      <c r="Z228">
        <v>0</v>
      </c>
      <c r="AA228">
        <v>0</v>
      </c>
      <c r="AB228" t="s">
        <v>125</v>
      </c>
      <c r="AC228" t="s">
        <v>191</v>
      </c>
      <c r="AD228">
        <v>2021</v>
      </c>
      <c r="AE228" t="s">
        <v>119</v>
      </c>
      <c r="AF228" t="b">
        <v>1</v>
      </c>
      <c r="AG228">
        <v>1658000</v>
      </c>
      <c r="AH228">
        <v>961024.12</v>
      </c>
      <c r="AI228">
        <v>0.75029999999999997</v>
      </c>
      <c r="AJ228">
        <v>0.31369999999999998</v>
      </c>
      <c r="AK228">
        <v>37</v>
      </c>
      <c r="AL228" t="s">
        <v>106</v>
      </c>
      <c r="AM228">
        <v>2042000</v>
      </c>
      <c r="AN228">
        <v>0.1996</v>
      </c>
      <c r="AO228">
        <v>663</v>
      </c>
      <c r="AP228">
        <v>693</v>
      </c>
      <c r="AQ228" t="s">
        <v>91</v>
      </c>
      <c r="AR228" t="s">
        <v>92</v>
      </c>
      <c r="AS228">
        <v>1</v>
      </c>
      <c r="AT228">
        <v>1.6E-2</v>
      </c>
      <c r="AU228">
        <v>0.46639999999999998</v>
      </c>
      <c r="AV228">
        <v>301990.69</v>
      </c>
      <c r="AW228">
        <v>2253.58</v>
      </c>
      <c r="AX228" t="b">
        <v>0</v>
      </c>
      <c r="AY228" t="b">
        <v>0</v>
      </c>
      <c r="AZ228" t="s">
        <v>80</v>
      </c>
      <c r="BA228">
        <v>0</v>
      </c>
      <c r="BB228">
        <v>0</v>
      </c>
      <c r="BC228">
        <v>0</v>
      </c>
      <c r="BD228">
        <v>0</v>
      </c>
      <c r="BE228" t="s">
        <v>108</v>
      </c>
      <c r="BF228" t="b">
        <v>1</v>
      </c>
    </row>
    <row r="229" spans="1:58" x14ac:dyDescent="0.3">
      <c r="A229" t="s">
        <v>630</v>
      </c>
      <c r="B229" t="s">
        <v>67</v>
      </c>
      <c r="C229" t="s">
        <v>631</v>
      </c>
      <c r="D229" t="s">
        <v>84</v>
      </c>
      <c r="E229" t="s">
        <v>85</v>
      </c>
      <c r="F229" t="s">
        <v>86</v>
      </c>
      <c r="G229" s="1">
        <v>45273</v>
      </c>
      <c r="H229" s="1">
        <v>45596</v>
      </c>
      <c r="I229" s="1">
        <v>47793</v>
      </c>
      <c r="J229">
        <v>1129000</v>
      </c>
      <c r="K229">
        <v>84</v>
      </c>
      <c r="L229">
        <v>74</v>
      </c>
      <c r="M229">
        <v>10</v>
      </c>
      <c r="N229">
        <v>12.05</v>
      </c>
      <c r="O229">
        <v>19960.14</v>
      </c>
      <c r="P229" t="s">
        <v>72</v>
      </c>
      <c r="Q229">
        <v>926047.67</v>
      </c>
      <c r="R229">
        <v>19960.14</v>
      </c>
      <c r="S229">
        <v>394.7</v>
      </c>
      <c r="T229" s="1">
        <v>45568</v>
      </c>
      <c r="U229" t="s">
        <v>131</v>
      </c>
      <c r="V229">
        <v>77</v>
      </c>
      <c r="W229">
        <v>10</v>
      </c>
      <c r="X229">
        <v>5</v>
      </c>
      <c r="Y229">
        <v>2</v>
      </c>
      <c r="Z229">
        <v>0</v>
      </c>
      <c r="AA229">
        <v>2</v>
      </c>
      <c r="AB229" t="s">
        <v>164</v>
      </c>
      <c r="AC229" t="s">
        <v>426</v>
      </c>
      <c r="AD229">
        <v>2023</v>
      </c>
      <c r="AE229" t="s">
        <v>166</v>
      </c>
      <c r="AF229" t="b">
        <v>1</v>
      </c>
      <c r="AG229">
        <v>1525000</v>
      </c>
      <c r="AH229">
        <v>1270549.3400000001</v>
      </c>
      <c r="AI229">
        <v>0.74029999999999996</v>
      </c>
      <c r="AJ229">
        <v>0.69010000000000005</v>
      </c>
      <c r="AK229">
        <v>50</v>
      </c>
      <c r="AL229" t="s">
        <v>77</v>
      </c>
      <c r="AM229">
        <v>2161000</v>
      </c>
      <c r="AN229">
        <v>0.1108</v>
      </c>
      <c r="AO229">
        <v>728</v>
      </c>
      <c r="AP229">
        <v>732</v>
      </c>
      <c r="AQ229" t="s">
        <v>127</v>
      </c>
      <c r="AR229" t="s">
        <v>153</v>
      </c>
      <c r="AS229">
        <v>2</v>
      </c>
      <c r="AT229">
        <v>0.1147</v>
      </c>
      <c r="AU229">
        <v>0.49030000000000001</v>
      </c>
      <c r="AV229">
        <v>944983.16</v>
      </c>
      <c r="AW229">
        <v>53143.41</v>
      </c>
      <c r="AX229" t="b">
        <v>0</v>
      </c>
      <c r="AY229" t="b">
        <v>0</v>
      </c>
      <c r="AZ229" t="s">
        <v>80</v>
      </c>
      <c r="BA229">
        <v>0</v>
      </c>
      <c r="BB229">
        <v>0</v>
      </c>
      <c r="BC229">
        <v>0</v>
      </c>
      <c r="BD229">
        <v>0</v>
      </c>
      <c r="BE229" t="s">
        <v>134</v>
      </c>
      <c r="BF229" t="b">
        <v>1</v>
      </c>
    </row>
    <row r="230" spans="1:58" x14ac:dyDescent="0.3">
      <c r="A230" t="s">
        <v>632</v>
      </c>
      <c r="B230" t="s">
        <v>67</v>
      </c>
      <c r="C230" t="s">
        <v>633</v>
      </c>
      <c r="D230" t="s">
        <v>69</v>
      </c>
      <c r="E230" t="s">
        <v>70</v>
      </c>
      <c r="F230" t="s">
        <v>86</v>
      </c>
      <c r="G230" s="1">
        <v>45518</v>
      </c>
      <c r="H230" s="1">
        <v>45596</v>
      </c>
      <c r="I230" s="1">
        <v>46598</v>
      </c>
      <c r="J230">
        <v>2396900</v>
      </c>
      <c r="K230">
        <v>36</v>
      </c>
      <c r="L230">
        <v>34</v>
      </c>
      <c r="M230">
        <v>2</v>
      </c>
      <c r="N230">
        <v>13</v>
      </c>
      <c r="O230">
        <v>80761.03</v>
      </c>
      <c r="P230" t="s">
        <v>72</v>
      </c>
      <c r="Q230">
        <v>2352004.08</v>
      </c>
      <c r="R230">
        <v>80761.03</v>
      </c>
      <c r="S230">
        <v>83360.42</v>
      </c>
      <c r="T230" s="1">
        <v>45596</v>
      </c>
      <c r="U230" t="s">
        <v>73</v>
      </c>
      <c r="V230">
        <v>0</v>
      </c>
      <c r="W230">
        <v>2</v>
      </c>
      <c r="X230">
        <v>2</v>
      </c>
      <c r="Y230">
        <v>0</v>
      </c>
      <c r="Z230">
        <v>0</v>
      </c>
      <c r="AA230">
        <v>0</v>
      </c>
      <c r="AB230" t="s">
        <v>74</v>
      </c>
      <c r="AC230" t="s">
        <v>260</v>
      </c>
      <c r="AD230">
        <v>2024</v>
      </c>
      <c r="AE230" t="s">
        <v>119</v>
      </c>
      <c r="AF230" t="b">
        <v>1</v>
      </c>
      <c r="AG230">
        <v>3075000</v>
      </c>
      <c r="AH230">
        <v>2984395.68</v>
      </c>
      <c r="AI230">
        <v>0.77949999999999997</v>
      </c>
      <c r="AJ230">
        <v>0.78369999999999995</v>
      </c>
      <c r="AK230">
        <v>29</v>
      </c>
      <c r="AL230" t="s">
        <v>132</v>
      </c>
      <c r="AM230">
        <v>1820000</v>
      </c>
      <c r="AN230">
        <v>0.53249999999999997</v>
      </c>
      <c r="AO230">
        <v>735</v>
      </c>
      <c r="AP230">
        <v>710</v>
      </c>
      <c r="AQ230" t="s">
        <v>91</v>
      </c>
      <c r="AR230" t="s">
        <v>192</v>
      </c>
      <c r="AS230">
        <v>1</v>
      </c>
      <c r="AT230">
        <v>1.41E-2</v>
      </c>
      <c r="AU230">
        <v>0.43980000000000002</v>
      </c>
      <c r="AV230">
        <v>2448707.77</v>
      </c>
      <c r="AW230">
        <v>15184.88</v>
      </c>
      <c r="AX230" t="b">
        <v>0</v>
      </c>
      <c r="AY230" t="b">
        <v>0</v>
      </c>
      <c r="AZ230" t="s">
        <v>80</v>
      </c>
      <c r="BA230">
        <v>0</v>
      </c>
      <c r="BB230">
        <v>0</v>
      </c>
      <c r="BC230">
        <v>0</v>
      </c>
      <c r="BD230">
        <v>0</v>
      </c>
      <c r="BE230" t="s">
        <v>134</v>
      </c>
      <c r="BF230" t="b">
        <v>1</v>
      </c>
    </row>
    <row r="231" spans="1:58" x14ac:dyDescent="0.3">
      <c r="A231" t="s">
        <v>634</v>
      </c>
      <c r="B231" t="s">
        <v>67</v>
      </c>
      <c r="C231" t="s">
        <v>635</v>
      </c>
      <c r="D231" t="s">
        <v>69</v>
      </c>
      <c r="E231" t="s">
        <v>70</v>
      </c>
      <c r="F231" t="s">
        <v>124</v>
      </c>
      <c r="G231" s="1">
        <v>45246</v>
      </c>
      <c r="H231" s="1">
        <v>45596</v>
      </c>
      <c r="I231" s="1">
        <v>47766</v>
      </c>
      <c r="J231">
        <v>986600</v>
      </c>
      <c r="K231">
        <v>84</v>
      </c>
      <c r="L231">
        <v>73</v>
      </c>
      <c r="M231">
        <v>11</v>
      </c>
      <c r="N231">
        <v>12.8</v>
      </c>
      <c r="O231">
        <v>17841.09</v>
      </c>
      <c r="P231" t="s">
        <v>72</v>
      </c>
      <c r="Q231">
        <v>864584.46</v>
      </c>
      <c r="R231">
        <v>17841.09</v>
      </c>
      <c r="S231">
        <v>18310.03</v>
      </c>
      <c r="T231" s="1">
        <v>45562</v>
      </c>
      <c r="U231" t="s">
        <v>73</v>
      </c>
      <c r="V231">
        <v>0</v>
      </c>
      <c r="W231">
        <v>11</v>
      </c>
      <c r="X231">
        <v>11</v>
      </c>
      <c r="Y231">
        <v>0</v>
      </c>
      <c r="Z231">
        <v>0</v>
      </c>
      <c r="AA231">
        <v>0</v>
      </c>
      <c r="AB231" t="s">
        <v>208</v>
      </c>
      <c r="AC231" t="s">
        <v>636</v>
      </c>
      <c r="AD231">
        <v>2023</v>
      </c>
      <c r="AE231" t="s">
        <v>76</v>
      </c>
      <c r="AF231" t="b">
        <v>1</v>
      </c>
      <c r="AG231">
        <v>1264000</v>
      </c>
      <c r="AH231">
        <v>1053186.31</v>
      </c>
      <c r="AI231">
        <v>0.78049999999999997</v>
      </c>
      <c r="AJ231">
        <v>0.78800000000000003</v>
      </c>
      <c r="AK231">
        <v>43</v>
      </c>
      <c r="AL231" t="s">
        <v>132</v>
      </c>
      <c r="AM231">
        <v>888000</v>
      </c>
      <c r="AN231">
        <v>0.24110000000000001</v>
      </c>
      <c r="AO231">
        <v>847</v>
      </c>
      <c r="AP231">
        <v>850</v>
      </c>
      <c r="AQ231" t="s">
        <v>100</v>
      </c>
      <c r="AR231" t="s">
        <v>107</v>
      </c>
      <c r="AS231">
        <v>1</v>
      </c>
      <c r="AT231">
        <v>2.3699999999999999E-2</v>
      </c>
      <c r="AU231">
        <v>0.60029999999999994</v>
      </c>
      <c r="AV231">
        <v>879274.71</v>
      </c>
      <c r="AW231">
        <v>12509.54</v>
      </c>
      <c r="AX231" t="b">
        <v>0</v>
      </c>
      <c r="AY231" t="b">
        <v>0</v>
      </c>
      <c r="AZ231" t="s">
        <v>80</v>
      </c>
      <c r="BA231">
        <v>0</v>
      </c>
      <c r="BB231">
        <v>0</v>
      </c>
      <c r="BC231">
        <v>0</v>
      </c>
      <c r="BD231">
        <v>0</v>
      </c>
      <c r="BE231" t="s">
        <v>134</v>
      </c>
      <c r="BF231" t="b">
        <v>1</v>
      </c>
    </row>
    <row r="232" spans="1:58" x14ac:dyDescent="0.3">
      <c r="A232" t="s">
        <v>637</v>
      </c>
      <c r="B232" t="s">
        <v>67</v>
      </c>
      <c r="C232" t="s">
        <v>638</v>
      </c>
      <c r="D232" t="s">
        <v>84</v>
      </c>
      <c r="E232" t="s">
        <v>85</v>
      </c>
      <c r="F232" t="s">
        <v>71</v>
      </c>
      <c r="G232" s="1">
        <v>45399</v>
      </c>
      <c r="H232" s="1">
        <v>45596</v>
      </c>
      <c r="I232" s="1">
        <v>47919</v>
      </c>
      <c r="J232">
        <v>1865600</v>
      </c>
      <c r="K232">
        <v>84</v>
      </c>
      <c r="L232">
        <v>78</v>
      </c>
      <c r="M232">
        <v>6</v>
      </c>
      <c r="N232">
        <v>11.91</v>
      </c>
      <c r="O232">
        <v>32843.21</v>
      </c>
      <c r="P232" t="s">
        <v>72</v>
      </c>
      <c r="Q232">
        <v>1715799.71</v>
      </c>
      <c r="R232">
        <v>32843.21</v>
      </c>
      <c r="S232">
        <v>32133.200000000001</v>
      </c>
      <c r="T232" s="1">
        <v>45582</v>
      </c>
      <c r="U232" t="s">
        <v>73</v>
      </c>
      <c r="V232">
        <v>0</v>
      </c>
      <c r="W232">
        <v>6</v>
      </c>
      <c r="X232">
        <v>6</v>
      </c>
      <c r="Y232">
        <v>0</v>
      </c>
      <c r="Z232">
        <v>0</v>
      </c>
      <c r="AA232">
        <v>0</v>
      </c>
      <c r="AB232" t="s">
        <v>117</v>
      </c>
      <c r="AC232" t="s">
        <v>257</v>
      </c>
      <c r="AD232">
        <v>2024</v>
      </c>
      <c r="AE232" t="s">
        <v>76</v>
      </c>
      <c r="AF232" t="b">
        <v>1</v>
      </c>
      <c r="AG232">
        <v>1968000</v>
      </c>
      <c r="AH232">
        <v>1750003.04</v>
      </c>
      <c r="AI232">
        <v>0.94799999999999995</v>
      </c>
      <c r="AJ232">
        <v>0.9395</v>
      </c>
      <c r="AK232">
        <v>58</v>
      </c>
      <c r="AL232" t="s">
        <v>120</v>
      </c>
      <c r="AM232">
        <v>4907000</v>
      </c>
      <c r="AN232">
        <v>8.0299999999999996E-2</v>
      </c>
      <c r="AO232">
        <v>702</v>
      </c>
      <c r="AP232">
        <v>702</v>
      </c>
      <c r="AQ232" t="s">
        <v>145</v>
      </c>
      <c r="AR232" t="s">
        <v>203</v>
      </c>
      <c r="AS232">
        <v>1</v>
      </c>
      <c r="AT232">
        <v>1.44E-2</v>
      </c>
      <c r="AU232">
        <v>0.55669999999999997</v>
      </c>
      <c r="AV232">
        <v>1757717.84</v>
      </c>
      <c r="AW232">
        <v>14090.71</v>
      </c>
      <c r="AX232" t="b">
        <v>0</v>
      </c>
      <c r="AY232" t="b">
        <v>0</v>
      </c>
      <c r="AZ232" t="s">
        <v>80</v>
      </c>
      <c r="BA232">
        <v>0</v>
      </c>
      <c r="BB232">
        <v>0</v>
      </c>
      <c r="BC232">
        <v>0</v>
      </c>
      <c r="BD232">
        <v>0</v>
      </c>
      <c r="BE232" t="s">
        <v>134</v>
      </c>
      <c r="BF232" t="b">
        <v>1</v>
      </c>
    </row>
    <row r="233" spans="1:58" x14ac:dyDescent="0.3">
      <c r="A233" t="s">
        <v>639</v>
      </c>
      <c r="B233" t="s">
        <v>67</v>
      </c>
      <c r="C233" t="s">
        <v>640</v>
      </c>
      <c r="D233" t="s">
        <v>84</v>
      </c>
      <c r="E233" t="s">
        <v>85</v>
      </c>
      <c r="F233" t="s">
        <v>124</v>
      </c>
      <c r="G233" s="1">
        <v>45270</v>
      </c>
      <c r="H233" s="1">
        <v>45596</v>
      </c>
      <c r="I233" s="1">
        <v>46350</v>
      </c>
      <c r="J233">
        <v>279700</v>
      </c>
      <c r="K233">
        <v>36</v>
      </c>
      <c r="L233">
        <v>26</v>
      </c>
      <c r="M233">
        <v>10</v>
      </c>
      <c r="N233">
        <v>8.4</v>
      </c>
      <c r="O233">
        <v>8816.49</v>
      </c>
      <c r="P233" t="s">
        <v>116</v>
      </c>
      <c r="Q233">
        <v>194483.27</v>
      </c>
      <c r="R233">
        <v>8816.49</v>
      </c>
      <c r="S233">
        <v>8839.2900000000009</v>
      </c>
      <c r="T233" s="1">
        <v>45565</v>
      </c>
      <c r="U233" t="s">
        <v>73</v>
      </c>
      <c r="V233">
        <v>0</v>
      </c>
      <c r="W233">
        <v>10</v>
      </c>
      <c r="X233">
        <v>10</v>
      </c>
      <c r="Y233">
        <v>0</v>
      </c>
      <c r="Z233">
        <v>0</v>
      </c>
      <c r="AA233">
        <v>0</v>
      </c>
      <c r="AB233" t="s">
        <v>74</v>
      </c>
      <c r="AC233" t="s">
        <v>188</v>
      </c>
      <c r="AD233">
        <v>2018</v>
      </c>
      <c r="AE233" t="s">
        <v>99</v>
      </c>
      <c r="AF233" t="b">
        <v>0</v>
      </c>
      <c r="AG233">
        <v>376000</v>
      </c>
      <c r="AH233">
        <v>328246.5</v>
      </c>
      <c r="AI233">
        <v>0.74380000000000002</v>
      </c>
      <c r="AJ233">
        <v>0.58779999999999999</v>
      </c>
      <c r="AK233">
        <v>26</v>
      </c>
      <c r="AL233" t="s">
        <v>120</v>
      </c>
      <c r="AM233">
        <v>4789000</v>
      </c>
      <c r="AN233">
        <v>2.2100000000000002E-2</v>
      </c>
      <c r="AO233">
        <v>702</v>
      </c>
      <c r="AP233">
        <v>668</v>
      </c>
      <c r="AQ233" t="s">
        <v>100</v>
      </c>
      <c r="AR233" t="s">
        <v>101</v>
      </c>
      <c r="AS233">
        <v>1</v>
      </c>
      <c r="AT233">
        <v>1.7299999999999999E-2</v>
      </c>
      <c r="AU233">
        <v>0.35220000000000001</v>
      </c>
      <c r="AV233">
        <v>195870.83</v>
      </c>
      <c r="AW233">
        <v>1193.45</v>
      </c>
      <c r="AX233" t="b">
        <v>0</v>
      </c>
      <c r="AY233" t="b">
        <v>0</v>
      </c>
      <c r="AZ233" t="s">
        <v>80</v>
      </c>
      <c r="BA233">
        <v>0</v>
      </c>
      <c r="BB233">
        <v>0</v>
      </c>
      <c r="BC233">
        <v>0</v>
      </c>
      <c r="BD233">
        <v>0</v>
      </c>
      <c r="BE233" t="s">
        <v>81</v>
      </c>
      <c r="BF233" t="b">
        <v>1</v>
      </c>
    </row>
    <row r="234" spans="1:58" x14ac:dyDescent="0.3">
      <c r="A234" t="s">
        <v>641</v>
      </c>
      <c r="B234" t="s">
        <v>67</v>
      </c>
      <c r="C234" t="s">
        <v>642</v>
      </c>
      <c r="D234" t="s">
        <v>69</v>
      </c>
      <c r="E234" t="s">
        <v>70</v>
      </c>
      <c r="F234" t="s">
        <v>71</v>
      </c>
      <c r="G234" s="1">
        <v>45376</v>
      </c>
      <c r="H234" s="1">
        <v>45596</v>
      </c>
      <c r="I234" s="1">
        <v>47176</v>
      </c>
      <c r="J234">
        <v>1553600</v>
      </c>
      <c r="K234">
        <v>60</v>
      </c>
      <c r="L234">
        <v>53</v>
      </c>
      <c r="M234">
        <v>7</v>
      </c>
      <c r="N234">
        <v>10.24</v>
      </c>
      <c r="O234">
        <v>33193.17</v>
      </c>
      <c r="P234" t="s">
        <v>72</v>
      </c>
      <c r="Q234">
        <v>1404616.63</v>
      </c>
      <c r="R234">
        <v>33193.17</v>
      </c>
      <c r="S234">
        <v>13393.97</v>
      </c>
      <c r="T234" s="1">
        <v>45576</v>
      </c>
      <c r="U234" t="s">
        <v>131</v>
      </c>
      <c r="V234">
        <v>78</v>
      </c>
      <c r="W234">
        <v>7</v>
      </c>
      <c r="X234">
        <v>4</v>
      </c>
      <c r="Y234">
        <v>2</v>
      </c>
      <c r="Z234">
        <v>2</v>
      </c>
      <c r="AA234">
        <v>2</v>
      </c>
      <c r="AB234" t="s">
        <v>117</v>
      </c>
      <c r="AC234" t="s">
        <v>377</v>
      </c>
      <c r="AD234">
        <v>2024</v>
      </c>
      <c r="AE234" t="s">
        <v>166</v>
      </c>
      <c r="AF234" t="b">
        <v>1</v>
      </c>
      <c r="AG234">
        <v>1736000</v>
      </c>
      <c r="AH234">
        <v>1561583.38</v>
      </c>
      <c r="AI234">
        <v>0.89490000000000003</v>
      </c>
      <c r="AJ234">
        <v>0.88329999999999997</v>
      </c>
      <c r="AK234">
        <v>33</v>
      </c>
      <c r="AL234" t="s">
        <v>120</v>
      </c>
      <c r="AM234">
        <v>1471000</v>
      </c>
      <c r="AN234">
        <v>0.27079999999999999</v>
      </c>
      <c r="AO234">
        <v>808</v>
      </c>
      <c r="AP234">
        <v>813</v>
      </c>
      <c r="AQ234" t="s">
        <v>127</v>
      </c>
      <c r="AR234" t="s">
        <v>215</v>
      </c>
      <c r="AS234">
        <v>2</v>
      </c>
      <c r="AT234">
        <v>0.14940000000000001</v>
      </c>
      <c r="AU234">
        <v>0.47339999999999999</v>
      </c>
      <c r="AV234">
        <v>1458122.75</v>
      </c>
      <c r="AW234">
        <v>103127.13</v>
      </c>
      <c r="AX234" t="b">
        <v>0</v>
      </c>
      <c r="AY234" t="b">
        <v>0</v>
      </c>
      <c r="AZ234" t="s">
        <v>80</v>
      </c>
      <c r="BA234">
        <v>0</v>
      </c>
      <c r="BB234">
        <v>0</v>
      </c>
      <c r="BC234">
        <v>0</v>
      </c>
      <c r="BD234">
        <v>0</v>
      </c>
      <c r="BE234" t="s">
        <v>81</v>
      </c>
      <c r="BF234" t="b">
        <v>1</v>
      </c>
    </row>
    <row r="235" spans="1:58" x14ac:dyDescent="0.3">
      <c r="A235" t="s">
        <v>643</v>
      </c>
      <c r="B235" t="s">
        <v>67</v>
      </c>
      <c r="C235" t="s">
        <v>644</v>
      </c>
      <c r="D235" t="s">
        <v>95</v>
      </c>
      <c r="E235" t="s">
        <v>96</v>
      </c>
      <c r="F235" t="s">
        <v>71</v>
      </c>
      <c r="G235" s="1">
        <v>44534</v>
      </c>
      <c r="H235" s="1">
        <v>45596</v>
      </c>
      <c r="I235" s="1">
        <v>46694</v>
      </c>
      <c r="J235">
        <v>718200</v>
      </c>
      <c r="K235">
        <v>72</v>
      </c>
      <c r="L235">
        <v>38</v>
      </c>
      <c r="M235">
        <v>34</v>
      </c>
      <c r="N235">
        <v>10.17</v>
      </c>
      <c r="O235">
        <v>13366.91</v>
      </c>
      <c r="P235" t="s">
        <v>72</v>
      </c>
      <c r="Q235">
        <v>383558.27</v>
      </c>
      <c r="R235">
        <v>13366.91</v>
      </c>
      <c r="S235">
        <v>13091.75</v>
      </c>
      <c r="T235" s="1">
        <v>45562</v>
      </c>
      <c r="U235" t="s">
        <v>73</v>
      </c>
      <c r="V235">
        <v>0</v>
      </c>
      <c r="W235">
        <v>34</v>
      </c>
      <c r="X235">
        <v>34</v>
      </c>
      <c r="Y235">
        <v>0</v>
      </c>
      <c r="Z235">
        <v>0</v>
      </c>
      <c r="AA235">
        <v>0</v>
      </c>
      <c r="AB235" t="s">
        <v>88</v>
      </c>
      <c r="AC235" t="s">
        <v>89</v>
      </c>
      <c r="AD235">
        <v>2021</v>
      </c>
      <c r="AE235" t="s">
        <v>166</v>
      </c>
      <c r="AF235" t="b">
        <v>1</v>
      </c>
      <c r="AG235">
        <v>872000</v>
      </c>
      <c r="AH235">
        <v>541152.09</v>
      </c>
      <c r="AI235">
        <v>0.8236</v>
      </c>
      <c r="AJ235">
        <v>0.74299999999999999</v>
      </c>
      <c r="AK235">
        <v>36</v>
      </c>
      <c r="AL235" t="s">
        <v>120</v>
      </c>
      <c r="AM235">
        <v>478000</v>
      </c>
      <c r="AN235">
        <v>0.33560000000000001</v>
      </c>
      <c r="AO235">
        <v>714</v>
      </c>
      <c r="AP235">
        <v>678</v>
      </c>
      <c r="AQ235" t="s">
        <v>100</v>
      </c>
      <c r="AR235" t="s">
        <v>101</v>
      </c>
      <c r="AS235">
        <v>1</v>
      </c>
      <c r="AT235">
        <v>1.9599999999999999E-2</v>
      </c>
      <c r="AU235">
        <v>0.43369999999999997</v>
      </c>
      <c r="AV235">
        <v>386652.94</v>
      </c>
      <c r="AW235">
        <v>3286.75</v>
      </c>
      <c r="AX235" t="b">
        <v>0</v>
      </c>
      <c r="AY235" t="b">
        <v>0</v>
      </c>
      <c r="AZ235" t="s">
        <v>80</v>
      </c>
      <c r="BA235">
        <v>0</v>
      </c>
      <c r="BB235">
        <v>0</v>
      </c>
      <c r="BC235">
        <v>0</v>
      </c>
      <c r="BD235">
        <v>0</v>
      </c>
      <c r="BE235" t="s">
        <v>81</v>
      </c>
      <c r="BF235" t="b">
        <v>1</v>
      </c>
    </row>
    <row r="236" spans="1:58" x14ac:dyDescent="0.3">
      <c r="A236" t="s">
        <v>645</v>
      </c>
      <c r="B236" t="s">
        <v>67</v>
      </c>
      <c r="C236" t="s">
        <v>646</v>
      </c>
      <c r="D236" t="s">
        <v>69</v>
      </c>
      <c r="E236" t="s">
        <v>70</v>
      </c>
      <c r="F236" t="s">
        <v>86</v>
      </c>
      <c r="G236" s="1">
        <v>44541</v>
      </c>
      <c r="H236" s="1">
        <v>45596</v>
      </c>
      <c r="I236" s="1">
        <v>45981</v>
      </c>
      <c r="J236">
        <v>880600</v>
      </c>
      <c r="K236">
        <v>48</v>
      </c>
      <c r="L236">
        <v>14</v>
      </c>
      <c r="M236">
        <v>34</v>
      </c>
      <c r="N236">
        <v>12.5</v>
      </c>
      <c r="O236">
        <v>23406.35</v>
      </c>
      <c r="P236" t="s">
        <v>72</v>
      </c>
      <c r="Q236">
        <v>265549.40999999997</v>
      </c>
      <c r="R236">
        <v>23406.35</v>
      </c>
      <c r="S236">
        <v>23827.57</v>
      </c>
      <c r="T236" s="1">
        <v>45592</v>
      </c>
      <c r="U236" t="s">
        <v>73</v>
      </c>
      <c r="V236">
        <v>0</v>
      </c>
      <c r="W236">
        <v>34</v>
      </c>
      <c r="X236">
        <v>34</v>
      </c>
      <c r="Y236">
        <v>0</v>
      </c>
      <c r="Z236">
        <v>0</v>
      </c>
      <c r="AA236">
        <v>0</v>
      </c>
      <c r="AB236" t="s">
        <v>74</v>
      </c>
      <c r="AC236" t="s">
        <v>212</v>
      </c>
      <c r="AD236">
        <v>2021</v>
      </c>
      <c r="AE236" t="s">
        <v>119</v>
      </c>
      <c r="AF236" t="b">
        <v>1</v>
      </c>
      <c r="AG236">
        <v>1214000</v>
      </c>
      <c r="AH236">
        <v>678523.09</v>
      </c>
      <c r="AI236">
        <v>0.72529999999999994</v>
      </c>
      <c r="AJ236">
        <v>0.3695</v>
      </c>
      <c r="AK236">
        <v>37</v>
      </c>
      <c r="AL236" t="s">
        <v>120</v>
      </c>
      <c r="AM236">
        <v>3575000</v>
      </c>
      <c r="AN236">
        <v>7.8600000000000003E-2</v>
      </c>
      <c r="AO236">
        <v>812</v>
      </c>
      <c r="AP236">
        <v>828</v>
      </c>
      <c r="AQ236" t="s">
        <v>145</v>
      </c>
      <c r="AR236" t="s">
        <v>182</v>
      </c>
      <c r="AS236">
        <v>1</v>
      </c>
      <c r="AT236">
        <v>2.4899999999999999E-2</v>
      </c>
      <c r="AU236">
        <v>0.41</v>
      </c>
      <c r="AV236">
        <v>265762.36</v>
      </c>
      <c r="AW236">
        <v>2713.17</v>
      </c>
      <c r="AX236" t="b">
        <v>0</v>
      </c>
      <c r="AY236" t="b">
        <v>0</v>
      </c>
      <c r="AZ236" t="s">
        <v>80</v>
      </c>
      <c r="BA236">
        <v>0</v>
      </c>
      <c r="BB236">
        <v>0</v>
      </c>
      <c r="BC236">
        <v>0</v>
      </c>
      <c r="BD236">
        <v>1022.39</v>
      </c>
      <c r="BE236" t="s">
        <v>108</v>
      </c>
      <c r="BF236" t="b">
        <v>0</v>
      </c>
    </row>
    <row r="237" spans="1:58" x14ac:dyDescent="0.3">
      <c r="A237" t="s">
        <v>647</v>
      </c>
      <c r="B237" t="s">
        <v>67</v>
      </c>
      <c r="C237" t="s">
        <v>648</v>
      </c>
      <c r="D237" t="s">
        <v>69</v>
      </c>
      <c r="E237" t="s">
        <v>70</v>
      </c>
      <c r="F237" t="s">
        <v>115</v>
      </c>
      <c r="G237" s="1">
        <v>44394</v>
      </c>
      <c r="H237" s="1">
        <v>45596</v>
      </c>
      <c r="I237" s="1">
        <v>46194</v>
      </c>
      <c r="J237">
        <v>1933900</v>
      </c>
      <c r="K237">
        <v>60</v>
      </c>
      <c r="L237">
        <v>21</v>
      </c>
      <c r="M237">
        <v>39</v>
      </c>
      <c r="N237">
        <v>11.43</v>
      </c>
      <c r="O237">
        <v>42463.57</v>
      </c>
      <c r="P237" t="s">
        <v>72</v>
      </c>
      <c r="Q237">
        <v>628423.21</v>
      </c>
      <c r="R237">
        <v>42463.57</v>
      </c>
      <c r="S237">
        <v>42461.77</v>
      </c>
      <c r="T237" s="1">
        <v>45590</v>
      </c>
      <c r="U237" t="s">
        <v>73</v>
      </c>
      <c r="V237">
        <v>0</v>
      </c>
      <c r="W237">
        <v>39</v>
      </c>
      <c r="X237">
        <v>39</v>
      </c>
      <c r="Y237">
        <v>0</v>
      </c>
      <c r="Z237">
        <v>0</v>
      </c>
      <c r="AA237">
        <v>0</v>
      </c>
      <c r="AB237" t="s">
        <v>208</v>
      </c>
      <c r="AC237" t="s">
        <v>405</v>
      </c>
      <c r="AD237">
        <v>2021</v>
      </c>
      <c r="AE237" t="s">
        <v>166</v>
      </c>
      <c r="AF237" t="b">
        <v>1</v>
      </c>
      <c r="AG237">
        <v>2184000</v>
      </c>
      <c r="AH237">
        <v>1211275.47</v>
      </c>
      <c r="AI237">
        <v>0.88549999999999995</v>
      </c>
      <c r="AJ237">
        <v>0.54090000000000005</v>
      </c>
      <c r="AK237">
        <v>59</v>
      </c>
      <c r="AL237" t="s">
        <v>120</v>
      </c>
      <c r="AM237">
        <v>4713000</v>
      </c>
      <c r="AN237">
        <v>0.1081</v>
      </c>
      <c r="AO237">
        <v>680</v>
      </c>
      <c r="AP237">
        <v>659</v>
      </c>
      <c r="AQ237" t="s">
        <v>100</v>
      </c>
      <c r="AR237" t="s">
        <v>121</v>
      </c>
      <c r="AS237">
        <v>1</v>
      </c>
      <c r="AT237">
        <v>2.1899999999999999E-2</v>
      </c>
      <c r="AU237">
        <v>0.4335</v>
      </c>
      <c r="AV237">
        <v>648027.17000000004</v>
      </c>
      <c r="AW237">
        <v>6152.14</v>
      </c>
      <c r="AX237" t="b">
        <v>0</v>
      </c>
      <c r="AY237" t="b">
        <v>0</v>
      </c>
      <c r="AZ237" t="s">
        <v>80</v>
      </c>
      <c r="BA237">
        <v>0</v>
      </c>
      <c r="BB237">
        <v>0</v>
      </c>
      <c r="BC237">
        <v>0</v>
      </c>
      <c r="BD237">
        <v>112799.38</v>
      </c>
      <c r="BE237" t="s">
        <v>108</v>
      </c>
      <c r="BF237" t="b">
        <v>1</v>
      </c>
    </row>
    <row r="238" spans="1:58" x14ac:dyDescent="0.3">
      <c r="A238" t="s">
        <v>649</v>
      </c>
      <c r="B238" t="s">
        <v>67</v>
      </c>
      <c r="C238" t="s">
        <v>650</v>
      </c>
      <c r="D238" t="s">
        <v>84</v>
      </c>
      <c r="E238" t="s">
        <v>85</v>
      </c>
      <c r="F238" t="s">
        <v>115</v>
      </c>
      <c r="G238" s="1">
        <v>45362</v>
      </c>
      <c r="H238" s="1">
        <v>45596</v>
      </c>
      <c r="I238" s="1">
        <v>47522</v>
      </c>
      <c r="J238">
        <v>867600</v>
      </c>
      <c r="K238">
        <v>72</v>
      </c>
      <c r="L238">
        <v>65</v>
      </c>
      <c r="M238">
        <v>7</v>
      </c>
      <c r="N238">
        <v>12.25</v>
      </c>
      <c r="O238">
        <v>17074.75</v>
      </c>
      <c r="P238" t="s">
        <v>72</v>
      </c>
      <c r="Q238">
        <v>819165.95</v>
      </c>
      <c r="R238">
        <v>17074.75</v>
      </c>
      <c r="S238">
        <v>17513.990000000002</v>
      </c>
      <c r="T238" s="1">
        <v>45591</v>
      </c>
      <c r="U238" t="s">
        <v>73</v>
      </c>
      <c r="V238">
        <v>0</v>
      </c>
      <c r="W238">
        <v>7</v>
      </c>
      <c r="X238">
        <v>7</v>
      </c>
      <c r="Y238">
        <v>0</v>
      </c>
      <c r="Z238">
        <v>0</v>
      </c>
      <c r="AA238">
        <v>0</v>
      </c>
      <c r="AB238" t="s">
        <v>208</v>
      </c>
      <c r="AC238" t="s">
        <v>651</v>
      </c>
      <c r="AD238">
        <v>2024</v>
      </c>
      <c r="AE238" t="s">
        <v>90</v>
      </c>
      <c r="AF238" t="b">
        <v>1</v>
      </c>
      <c r="AG238">
        <v>1057000</v>
      </c>
      <c r="AH238">
        <v>882994.44</v>
      </c>
      <c r="AI238">
        <v>0.82079999999999997</v>
      </c>
      <c r="AJ238">
        <v>0.84609999999999996</v>
      </c>
      <c r="AK238">
        <v>30</v>
      </c>
      <c r="AL238" t="s">
        <v>106</v>
      </c>
      <c r="AM238">
        <v>3952000</v>
      </c>
      <c r="AN238">
        <v>5.1799999999999999E-2</v>
      </c>
      <c r="AO238">
        <v>826</v>
      </c>
      <c r="AP238">
        <v>816</v>
      </c>
      <c r="AQ238" t="s">
        <v>127</v>
      </c>
      <c r="AR238" t="s">
        <v>128</v>
      </c>
      <c r="AS238">
        <v>1</v>
      </c>
      <c r="AT238">
        <v>1.6799999999999999E-2</v>
      </c>
      <c r="AU238">
        <v>0.53490000000000004</v>
      </c>
      <c r="AV238">
        <v>855896.51</v>
      </c>
      <c r="AW238">
        <v>7691.36</v>
      </c>
      <c r="AX238" t="b">
        <v>0</v>
      </c>
      <c r="AY238" t="b">
        <v>0</v>
      </c>
      <c r="AZ238" t="s">
        <v>80</v>
      </c>
      <c r="BA238">
        <v>0</v>
      </c>
      <c r="BB238">
        <v>0</v>
      </c>
      <c r="BC238">
        <v>0</v>
      </c>
      <c r="BD238">
        <v>0</v>
      </c>
      <c r="BE238" t="s">
        <v>108</v>
      </c>
      <c r="BF238" t="b">
        <v>0</v>
      </c>
    </row>
    <row r="239" spans="1:58" x14ac:dyDescent="0.3">
      <c r="A239" t="s">
        <v>652</v>
      </c>
      <c r="B239" t="s">
        <v>67</v>
      </c>
      <c r="C239" t="s">
        <v>653</v>
      </c>
      <c r="D239" t="s">
        <v>84</v>
      </c>
      <c r="E239" t="s">
        <v>85</v>
      </c>
      <c r="F239" t="s">
        <v>71</v>
      </c>
      <c r="G239" s="1">
        <v>44964</v>
      </c>
      <c r="H239" s="1">
        <v>45596</v>
      </c>
      <c r="I239" s="1">
        <v>47484</v>
      </c>
      <c r="J239">
        <v>829100</v>
      </c>
      <c r="K239">
        <v>84</v>
      </c>
      <c r="L239">
        <v>64</v>
      </c>
      <c r="M239">
        <v>20</v>
      </c>
      <c r="N239">
        <v>14.42</v>
      </c>
      <c r="O239">
        <v>15730.34</v>
      </c>
      <c r="P239" t="s">
        <v>72</v>
      </c>
      <c r="Q239">
        <v>610570.67000000004</v>
      </c>
      <c r="R239">
        <v>15730.34</v>
      </c>
      <c r="S239">
        <v>15639.67</v>
      </c>
      <c r="T239" s="1">
        <v>45596</v>
      </c>
      <c r="U239" t="s">
        <v>73</v>
      </c>
      <c r="V239">
        <v>0</v>
      </c>
      <c r="W239">
        <v>20</v>
      </c>
      <c r="X239">
        <v>20</v>
      </c>
      <c r="Y239">
        <v>0</v>
      </c>
      <c r="Z239">
        <v>0</v>
      </c>
      <c r="AA239">
        <v>0</v>
      </c>
      <c r="AB239" t="s">
        <v>164</v>
      </c>
      <c r="AC239" t="s">
        <v>165</v>
      </c>
      <c r="AD239">
        <v>2023</v>
      </c>
      <c r="AE239" t="s">
        <v>166</v>
      </c>
      <c r="AF239" t="b">
        <v>1</v>
      </c>
      <c r="AG239">
        <v>1352000</v>
      </c>
      <c r="AH239">
        <v>938047.03</v>
      </c>
      <c r="AI239">
        <v>0.61329999999999996</v>
      </c>
      <c r="AJ239">
        <v>0.59419999999999995</v>
      </c>
      <c r="AK239">
        <v>31</v>
      </c>
      <c r="AL239" t="s">
        <v>106</v>
      </c>
      <c r="AM239">
        <v>4063000</v>
      </c>
      <c r="AN239">
        <v>4.65E-2</v>
      </c>
      <c r="AO239">
        <v>660</v>
      </c>
      <c r="AP239">
        <v>676</v>
      </c>
      <c r="AQ239" t="s">
        <v>127</v>
      </c>
      <c r="AR239" t="s">
        <v>185</v>
      </c>
      <c r="AS239">
        <v>1</v>
      </c>
      <c r="AT239">
        <v>2.3599999999999999E-2</v>
      </c>
      <c r="AU239">
        <v>0.55889999999999995</v>
      </c>
      <c r="AV239">
        <v>617361.56000000006</v>
      </c>
      <c r="AW239">
        <v>8143.02</v>
      </c>
      <c r="AX239" t="b">
        <v>0</v>
      </c>
      <c r="AY239" t="b">
        <v>0</v>
      </c>
      <c r="AZ239" t="s">
        <v>80</v>
      </c>
      <c r="BA239">
        <v>0</v>
      </c>
      <c r="BB239">
        <v>0</v>
      </c>
      <c r="BC239">
        <v>0</v>
      </c>
      <c r="BD239">
        <v>0</v>
      </c>
      <c r="BE239" t="s">
        <v>81</v>
      </c>
      <c r="BF239" t="b">
        <v>1</v>
      </c>
    </row>
    <row r="240" spans="1:58" x14ac:dyDescent="0.3">
      <c r="A240" t="s">
        <v>654</v>
      </c>
      <c r="B240" t="s">
        <v>67</v>
      </c>
      <c r="C240" t="s">
        <v>655</v>
      </c>
      <c r="D240" t="s">
        <v>95</v>
      </c>
      <c r="E240" t="s">
        <v>96</v>
      </c>
      <c r="F240" t="s">
        <v>124</v>
      </c>
      <c r="G240" s="1">
        <v>45203</v>
      </c>
      <c r="H240" s="1">
        <v>45596</v>
      </c>
      <c r="I240" s="1">
        <v>46643</v>
      </c>
      <c r="J240">
        <v>339000</v>
      </c>
      <c r="K240">
        <v>48</v>
      </c>
      <c r="L240">
        <v>36</v>
      </c>
      <c r="M240">
        <v>12</v>
      </c>
      <c r="N240">
        <v>11.05</v>
      </c>
      <c r="O240">
        <v>8769.8700000000008</v>
      </c>
      <c r="P240" t="s">
        <v>116</v>
      </c>
      <c r="Q240">
        <v>245080.72</v>
      </c>
      <c r="R240">
        <v>8769.8700000000008</v>
      </c>
      <c r="S240">
        <v>9050.16</v>
      </c>
      <c r="T240" s="1">
        <v>45566</v>
      </c>
      <c r="U240" t="s">
        <v>73</v>
      </c>
      <c r="V240">
        <v>0</v>
      </c>
      <c r="W240">
        <v>12</v>
      </c>
      <c r="X240">
        <v>12</v>
      </c>
      <c r="Y240">
        <v>0</v>
      </c>
      <c r="Z240">
        <v>0</v>
      </c>
      <c r="AA240">
        <v>0</v>
      </c>
      <c r="AB240" t="s">
        <v>74</v>
      </c>
      <c r="AC240" t="s">
        <v>420</v>
      </c>
      <c r="AD240">
        <v>2021</v>
      </c>
      <c r="AE240" t="s">
        <v>76</v>
      </c>
      <c r="AF240" t="b">
        <v>0</v>
      </c>
      <c r="AG240">
        <v>428000</v>
      </c>
      <c r="AH240">
        <v>331182.83</v>
      </c>
      <c r="AI240">
        <v>0.79210000000000003</v>
      </c>
      <c r="AJ240">
        <v>0.66890000000000005</v>
      </c>
      <c r="AK240">
        <v>42</v>
      </c>
      <c r="AL240" t="s">
        <v>77</v>
      </c>
      <c r="AM240">
        <v>3692000</v>
      </c>
      <c r="AN240">
        <v>2.8500000000000001E-2</v>
      </c>
      <c r="AO240">
        <v>712</v>
      </c>
      <c r="AP240">
        <v>716</v>
      </c>
      <c r="AQ240" t="s">
        <v>100</v>
      </c>
      <c r="AR240" t="s">
        <v>149</v>
      </c>
      <c r="AS240">
        <v>1</v>
      </c>
      <c r="AT240">
        <v>1.8499999999999999E-2</v>
      </c>
      <c r="AU240">
        <v>0.49120000000000003</v>
      </c>
      <c r="AV240">
        <v>250260.47</v>
      </c>
      <c r="AW240">
        <v>2274.17</v>
      </c>
      <c r="AX240" t="b">
        <v>0</v>
      </c>
      <c r="AY240" t="b">
        <v>0</v>
      </c>
      <c r="AZ240" t="s">
        <v>80</v>
      </c>
      <c r="BA240">
        <v>0</v>
      </c>
      <c r="BB240">
        <v>0</v>
      </c>
      <c r="BC240">
        <v>0</v>
      </c>
      <c r="BD240">
        <v>0</v>
      </c>
      <c r="BE240" t="s">
        <v>81</v>
      </c>
      <c r="BF240" t="b">
        <v>1</v>
      </c>
    </row>
    <row r="241" spans="1:58" x14ac:dyDescent="0.3">
      <c r="A241" t="s">
        <v>656</v>
      </c>
      <c r="B241" t="s">
        <v>67</v>
      </c>
      <c r="C241" t="s">
        <v>657</v>
      </c>
      <c r="D241" t="s">
        <v>95</v>
      </c>
      <c r="E241" t="s">
        <v>96</v>
      </c>
      <c r="F241" t="s">
        <v>124</v>
      </c>
      <c r="G241" s="1">
        <v>44978</v>
      </c>
      <c r="H241" s="1">
        <v>45596</v>
      </c>
      <c r="I241" s="1">
        <v>46418</v>
      </c>
      <c r="J241">
        <v>1572900</v>
      </c>
      <c r="K241">
        <v>48</v>
      </c>
      <c r="L241">
        <v>28</v>
      </c>
      <c r="M241">
        <v>20</v>
      </c>
      <c r="N241">
        <v>9.3000000000000007</v>
      </c>
      <c r="O241">
        <v>39366.129999999997</v>
      </c>
      <c r="P241" t="s">
        <v>72</v>
      </c>
      <c r="Q241">
        <v>889584.24</v>
      </c>
      <c r="R241">
        <v>39366.129999999997</v>
      </c>
      <c r="S241">
        <v>39921.379999999997</v>
      </c>
      <c r="T241" s="1">
        <v>45592</v>
      </c>
      <c r="U241" t="s">
        <v>73</v>
      </c>
      <c r="V241">
        <v>0</v>
      </c>
      <c r="W241">
        <v>20</v>
      </c>
      <c r="X241">
        <v>20</v>
      </c>
      <c r="Y241">
        <v>0</v>
      </c>
      <c r="Z241">
        <v>0</v>
      </c>
      <c r="AA241">
        <v>0</v>
      </c>
      <c r="AB241" t="s">
        <v>174</v>
      </c>
      <c r="AC241" t="s">
        <v>305</v>
      </c>
      <c r="AD241">
        <v>2023</v>
      </c>
      <c r="AE241" t="s">
        <v>119</v>
      </c>
      <c r="AF241" t="b">
        <v>1</v>
      </c>
      <c r="AG241">
        <v>2407000</v>
      </c>
      <c r="AH241">
        <v>1795948.66</v>
      </c>
      <c r="AI241">
        <v>0.65349999999999997</v>
      </c>
      <c r="AJ241">
        <v>0.48630000000000001</v>
      </c>
      <c r="AK241">
        <v>41</v>
      </c>
      <c r="AL241" t="s">
        <v>120</v>
      </c>
      <c r="AM241">
        <v>2942000</v>
      </c>
      <c r="AN241">
        <v>0.16059999999999999</v>
      </c>
      <c r="AO241">
        <v>773</v>
      </c>
      <c r="AP241">
        <v>732</v>
      </c>
      <c r="AQ241" t="s">
        <v>91</v>
      </c>
      <c r="AR241" t="s">
        <v>92</v>
      </c>
      <c r="AS241">
        <v>1</v>
      </c>
      <c r="AT241">
        <v>1.89E-2</v>
      </c>
      <c r="AU241">
        <v>0.47470000000000001</v>
      </c>
      <c r="AV241">
        <v>907137.95</v>
      </c>
      <c r="AW241">
        <v>8138.69</v>
      </c>
      <c r="AX241" t="b">
        <v>0</v>
      </c>
      <c r="AY241" t="b">
        <v>0</v>
      </c>
      <c r="AZ241" t="s">
        <v>80</v>
      </c>
      <c r="BA241">
        <v>0</v>
      </c>
      <c r="BB241">
        <v>0</v>
      </c>
      <c r="BC241">
        <v>0</v>
      </c>
      <c r="BD241">
        <v>0</v>
      </c>
      <c r="BE241" t="s">
        <v>134</v>
      </c>
      <c r="BF241" t="b">
        <v>1</v>
      </c>
    </row>
    <row r="242" spans="1:58" x14ac:dyDescent="0.3">
      <c r="A242" t="s">
        <v>658</v>
      </c>
      <c r="B242" t="s">
        <v>67</v>
      </c>
      <c r="C242" t="s">
        <v>659</v>
      </c>
      <c r="D242" t="s">
        <v>69</v>
      </c>
      <c r="E242" t="s">
        <v>70</v>
      </c>
      <c r="F242" t="s">
        <v>71</v>
      </c>
      <c r="G242" s="1">
        <v>44276</v>
      </c>
      <c r="H242" s="1">
        <v>45596</v>
      </c>
      <c r="I242" s="1">
        <v>46076</v>
      </c>
      <c r="J242">
        <v>656400</v>
      </c>
      <c r="K242">
        <v>60</v>
      </c>
      <c r="L242">
        <v>17</v>
      </c>
      <c r="M242">
        <v>43</v>
      </c>
      <c r="N242">
        <v>12.9</v>
      </c>
      <c r="O242">
        <v>14901.54</v>
      </c>
      <c r="P242" t="s">
        <v>72</v>
      </c>
      <c r="Q242">
        <v>188348.75</v>
      </c>
      <c r="R242">
        <v>14901.54</v>
      </c>
      <c r="S242">
        <v>15410.45</v>
      </c>
      <c r="T242" s="1">
        <v>45596</v>
      </c>
      <c r="U242" t="s">
        <v>73</v>
      </c>
      <c r="V242">
        <v>0</v>
      </c>
      <c r="W242">
        <v>43</v>
      </c>
      <c r="X242">
        <v>43</v>
      </c>
      <c r="Y242">
        <v>0</v>
      </c>
      <c r="Z242">
        <v>0</v>
      </c>
      <c r="AA242">
        <v>0</v>
      </c>
      <c r="AB242" t="s">
        <v>74</v>
      </c>
      <c r="AC242" t="s">
        <v>188</v>
      </c>
      <c r="AD242">
        <v>2021</v>
      </c>
      <c r="AE242" t="s">
        <v>76</v>
      </c>
      <c r="AF242" t="b">
        <v>1</v>
      </c>
      <c r="AG242">
        <v>872000</v>
      </c>
      <c r="AH242">
        <v>389696.39</v>
      </c>
      <c r="AI242">
        <v>0.75270000000000004</v>
      </c>
      <c r="AJ242">
        <v>0.44629999999999997</v>
      </c>
      <c r="AK242">
        <v>57</v>
      </c>
      <c r="AL242" t="s">
        <v>120</v>
      </c>
      <c r="AM242">
        <v>3284000</v>
      </c>
      <c r="AN242">
        <v>5.45E-2</v>
      </c>
      <c r="AO242">
        <v>744</v>
      </c>
      <c r="AP242">
        <v>701</v>
      </c>
      <c r="AQ242" t="s">
        <v>127</v>
      </c>
      <c r="AR242" t="s">
        <v>215</v>
      </c>
      <c r="AS242">
        <v>1</v>
      </c>
      <c r="AT242">
        <v>1.7100000000000001E-2</v>
      </c>
      <c r="AU242">
        <v>0.48659999999999998</v>
      </c>
      <c r="AV242">
        <v>194762.65</v>
      </c>
      <c r="AW242">
        <v>1620.59</v>
      </c>
      <c r="AX242" t="b">
        <v>0</v>
      </c>
      <c r="AY242" t="b">
        <v>0</v>
      </c>
      <c r="AZ242" t="s">
        <v>80</v>
      </c>
      <c r="BA242">
        <v>0</v>
      </c>
      <c r="BB242">
        <v>0</v>
      </c>
      <c r="BC242">
        <v>0</v>
      </c>
      <c r="BD242">
        <v>0</v>
      </c>
      <c r="BE242" t="s">
        <v>108</v>
      </c>
      <c r="BF242" t="b">
        <v>1</v>
      </c>
    </row>
    <row r="243" spans="1:58" x14ac:dyDescent="0.3">
      <c r="A243" t="s">
        <v>660</v>
      </c>
      <c r="B243" t="s">
        <v>67</v>
      </c>
      <c r="C243" t="s">
        <v>661</v>
      </c>
      <c r="D243" t="s">
        <v>84</v>
      </c>
      <c r="E243" t="s">
        <v>85</v>
      </c>
      <c r="F243" t="s">
        <v>124</v>
      </c>
      <c r="G243" s="1">
        <v>44386</v>
      </c>
      <c r="H243" s="1">
        <v>45596</v>
      </c>
      <c r="I243" s="1">
        <v>46546</v>
      </c>
      <c r="J243">
        <v>526900</v>
      </c>
      <c r="K243">
        <v>72</v>
      </c>
      <c r="L243">
        <v>33</v>
      </c>
      <c r="M243">
        <v>39</v>
      </c>
      <c r="N243">
        <v>8.66</v>
      </c>
      <c r="O243">
        <v>9408.99</v>
      </c>
      <c r="P243" t="s">
        <v>72</v>
      </c>
      <c r="Q243">
        <v>232809.4</v>
      </c>
      <c r="R243">
        <v>9408.99</v>
      </c>
      <c r="S243">
        <v>9331.69</v>
      </c>
      <c r="T243" s="1">
        <v>45570</v>
      </c>
      <c r="U243" t="s">
        <v>73</v>
      </c>
      <c r="V243">
        <v>0</v>
      </c>
      <c r="W243">
        <v>39</v>
      </c>
      <c r="X243">
        <v>39</v>
      </c>
      <c r="Y243">
        <v>0</v>
      </c>
      <c r="Z243">
        <v>0</v>
      </c>
      <c r="AA243">
        <v>0</v>
      </c>
      <c r="AB243" t="s">
        <v>174</v>
      </c>
      <c r="AC243" t="s">
        <v>423</v>
      </c>
      <c r="AD243">
        <v>2021</v>
      </c>
      <c r="AE243" t="s">
        <v>99</v>
      </c>
      <c r="AF243" t="b">
        <v>1</v>
      </c>
      <c r="AG243">
        <v>791000</v>
      </c>
      <c r="AH243">
        <v>433816.87</v>
      </c>
      <c r="AI243">
        <v>0.66610000000000003</v>
      </c>
      <c r="AJ243">
        <v>0.55320000000000003</v>
      </c>
      <c r="AK243">
        <v>44</v>
      </c>
      <c r="AL243" t="s">
        <v>120</v>
      </c>
      <c r="AM243">
        <v>3055000</v>
      </c>
      <c r="AN243">
        <v>3.6999999999999998E-2</v>
      </c>
      <c r="AO243">
        <v>837</v>
      </c>
      <c r="AP243">
        <v>839</v>
      </c>
      <c r="AQ243" t="s">
        <v>145</v>
      </c>
      <c r="AR243" t="s">
        <v>146</v>
      </c>
      <c r="AS243">
        <v>1</v>
      </c>
      <c r="AT243">
        <v>2.24E-2</v>
      </c>
      <c r="AU243">
        <v>0.35189999999999999</v>
      </c>
      <c r="AV243">
        <v>234769.64</v>
      </c>
      <c r="AW243">
        <v>1850.59</v>
      </c>
      <c r="AX243" t="b">
        <v>0</v>
      </c>
      <c r="AY243" t="b">
        <v>0</v>
      </c>
      <c r="AZ243" t="s">
        <v>80</v>
      </c>
      <c r="BA243">
        <v>0</v>
      </c>
      <c r="BB243">
        <v>0</v>
      </c>
      <c r="BC243">
        <v>0</v>
      </c>
      <c r="BD243">
        <v>0</v>
      </c>
      <c r="BE243" t="s">
        <v>108</v>
      </c>
      <c r="BF243" t="b">
        <v>1</v>
      </c>
    </row>
    <row r="244" spans="1:58" x14ac:dyDescent="0.3">
      <c r="A244" t="s">
        <v>662</v>
      </c>
      <c r="B244" t="s">
        <v>67</v>
      </c>
      <c r="C244" t="s">
        <v>663</v>
      </c>
      <c r="D244" t="s">
        <v>69</v>
      </c>
      <c r="E244" t="s">
        <v>70</v>
      </c>
      <c r="F244" t="s">
        <v>86</v>
      </c>
      <c r="G244" s="1">
        <v>45079</v>
      </c>
      <c r="H244" s="1">
        <v>45596</v>
      </c>
      <c r="I244" s="1">
        <v>46159</v>
      </c>
      <c r="J244">
        <v>582100</v>
      </c>
      <c r="K244">
        <v>36</v>
      </c>
      <c r="L244">
        <v>20</v>
      </c>
      <c r="M244">
        <v>16</v>
      </c>
      <c r="N244">
        <v>10.65</v>
      </c>
      <c r="O244">
        <v>18960.87</v>
      </c>
      <c r="P244" t="s">
        <v>72</v>
      </c>
      <c r="Q244">
        <v>330553.75</v>
      </c>
      <c r="R244">
        <v>18960.87</v>
      </c>
      <c r="S244">
        <v>18030.849999999999</v>
      </c>
      <c r="T244" s="1">
        <v>45579</v>
      </c>
      <c r="U244" t="s">
        <v>73</v>
      </c>
      <c r="V244">
        <v>0</v>
      </c>
      <c r="W244">
        <v>16</v>
      </c>
      <c r="X244">
        <v>16</v>
      </c>
      <c r="Y244">
        <v>0</v>
      </c>
      <c r="Z244">
        <v>0</v>
      </c>
      <c r="AA244">
        <v>0</v>
      </c>
      <c r="AB244" t="s">
        <v>208</v>
      </c>
      <c r="AC244" t="s">
        <v>344</v>
      </c>
      <c r="AD244">
        <v>2023</v>
      </c>
      <c r="AE244" t="s">
        <v>76</v>
      </c>
      <c r="AF244" t="b">
        <v>1</v>
      </c>
      <c r="AG244">
        <v>877000</v>
      </c>
      <c r="AH244">
        <v>744301.72</v>
      </c>
      <c r="AI244">
        <v>0.66369999999999996</v>
      </c>
      <c r="AJ244">
        <v>0.46650000000000003</v>
      </c>
      <c r="AK244">
        <v>35</v>
      </c>
      <c r="AL244" t="s">
        <v>132</v>
      </c>
      <c r="AM244">
        <v>2504000</v>
      </c>
      <c r="AN244">
        <v>9.0899999999999995E-2</v>
      </c>
      <c r="AO244">
        <v>699</v>
      </c>
      <c r="AP244">
        <v>682</v>
      </c>
      <c r="AQ244" t="s">
        <v>127</v>
      </c>
      <c r="AR244" t="s">
        <v>215</v>
      </c>
      <c r="AS244">
        <v>1</v>
      </c>
      <c r="AT244">
        <v>1.4800000000000001E-2</v>
      </c>
      <c r="AU244">
        <v>0.3589</v>
      </c>
      <c r="AV244">
        <v>334434.12</v>
      </c>
      <c r="AW244">
        <v>1776.42</v>
      </c>
      <c r="AX244" t="b">
        <v>0</v>
      </c>
      <c r="AY244" t="b">
        <v>0</v>
      </c>
      <c r="AZ244" t="s">
        <v>80</v>
      </c>
      <c r="BA244">
        <v>0</v>
      </c>
      <c r="BB244">
        <v>0</v>
      </c>
      <c r="BC244">
        <v>0</v>
      </c>
      <c r="BD244">
        <v>0</v>
      </c>
      <c r="BE244" t="s">
        <v>108</v>
      </c>
      <c r="BF244" t="b">
        <v>0</v>
      </c>
    </row>
    <row r="245" spans="1:58" x14ac:dyDescent="0.3">
      <c r="A245" t="s">
        <v>664</v>
      </c>
      <c r="B245" t="s">
        <v>67</v>
      </c>
      <c r="C245" t="s">
        <v>665</v>
      </c>
      <c r="D245" t="s">
        <v>84</v>
      </c>
      <c r="E245" t="s">
        <v>85</v>
      </c>
      <c r="F245" t="s">
        <v>124</v>
      </c>
      <c r="G245" s="1">
        <v>44211</v>
      </c>
      <c r="H245" s="1">
        <v>45596</v>
      </c>
      <c r="I245" s="1">
        <v>46371</v>
      </c>
      <c r="J245">
        <v>411200</v>
      </c>
      <c r="K245">
        <v>72</v>
      </c>
      <c r="L245">
        <v>27</v>
      </c>
      <c r="M245">
        <v>45</v>
      </c>
      <c r="N245">
        <v>10.81</v>
      </c>
      <c r="O245">
        <v>7786.86</v>
      </c>
      <c r="P245" t="s">
        <v>139</v>
      </c>
      <c r="Q245">
        <v>146575.5</v>
      </c>
      <c r="R245">
        <v>7786.86</v>
      </c>
      <c r="S245">
        <v>7615.13</v>
      </c>
      <c r="T245" s="1">
        <v>45581</v>
      </c>
      <c r="U245" t="s">
        <v>73</v>
      </c>
      <c r="V245">
        <v>0</v>
      </c>
      <c r="W245">
        <v>45</v>
      </c>
      <c r="X245">
        <v>45</v>
      </c>
      <c r="Y245">
        <v>0</v>
      </c>
      <c r="Z245">
        <v>0</v>
      </c>
      <c r="AA245">
        <v>0</v>
      </c>
      <c r="AB245" t="s">
        <v>104</v>
      </c>
      <c r="AC245" t="s">
        <v>105</v>
      </c>
      <c r="AD245">
        <v>2016</v>
      </c>
      <c r="AE245" t="s">
        <v>99</v>
      </c>
      <c r="AF245" t="b">
        <v>0</v>
      </c>
      <c r="AG245">
        <v>439000</v>
      </c>
      <c r="AH245">
        <v>196626.15</v>
      </c>
      <c r="AI245">
        <v>0.93669999999999998</v>
      </c>
      <c r="AJ245">
        <v>0.7258</v>
      </c>
      <c r="AK245">
        <v>46</v>
      </c>
      <c r="AL245" t="s">
        <v>106</v>
      </c>
      <c r="AM245">
        <v>2110000</v>
      </c>
      <c r="AN245">
        <v>4.4299999999999999E-2</v>
      </c>
      <c r="AO245">
        <v>730</v>
      </c>
      <c r="AP245">
        <v>710</v>
      </c>
      <c r="AQ245" t="s">
        <v>91</v>
      </c>
      <c r="AR245" t="s">
        <v>252</v>
      </c>
      <c r="AS245">
        <v>1</v>
      </c>
      <c r="AT245">
        <v>2.2700000000000001E-2</v>
      </c>
      <c r="AU245">
        <v>0.61639999999999995</v>
      </c>
      <c r="AV245">
        <v>147593.20000000001</v>
      </c>
      <c r="AW245">
        <v>2065.17</v>
      </c>
      <c r="AX245" t="b">
        <v>0</v>
      </c>
      <c r="AY245" t="b">
        <v>0</v>
      </c>
      <c r="AZ245" t="s">
        <v>80</v>
      </c>
      <c r="BA245">
        <v>0</v>
      </c>
      <c r="BB245">
        <v>0</v>
      </c>
      <c r="BC245">
        <v>0</v>
      </c>
      <c r="BD245">
        <v>0</v>
      </c>
      <c r="BE245" t="s">
        <v>108</v>
      </c>
      <c r="BF245" t="b">
        <v>0</v>
      </c>
    </row>
    <row r="246" spans="1:58" x14ac:dyDescent="0.3">
      <c r="A246" t="s">
        <v>666</v>
      </c>
      <c r="B246" t="s">
        <v>67</v>
      </c>
      <c r="C246" t="s">
        <v>667</v>
      </c>
      <c r="D246" t="s">
        <v>84</v>
      </c>
      <c r="E246" t="s">
        <v>85</v>
      </c>
      <c r="F246" t="s">
        <v>71</v>
      </c>
      <c r="G246" s="1">
        <v>45463</v>
      </c>
      <c r="H246" s="1">
        <v>45596</v>
      </c>
      <c r="I246" s="1">
        <v>47263</v>
      </c>
      <c r="J246">
        <v>497300</v>
      </c>
      <c r="K246">
        <v>60</v>
      </c>
      <c r="L246">
        <v>56</v>
      </c>
      <c r="M246">
        <v>4</v>
      </c>
      <c r="N246">
        <v>7.62</v>
      </c>
      <c r="O246">
        <v>9993.25</v>
      </c>
      <c r="P246" t="s">
        <v>72</v>
      </c>
      <c r="Q246">
        <v>442810.24</v>
      </c>
      <c r="R246">
        <v>9993.25</v>
      </c>
      <c r="S246">
        <v>9525.31</v>
      </c>
      <c r="T246" s="1">
        <v>45565</v>
      </c>
      <c r="U246" t="s">
        <v>73</v>
      </c>
      <c r="V246">
        <v>0</v>
      </c>
      <c r="W246">
        <v>4</v>
      </c>
      <c r="X246">
        <v>4</v>
      </c>
      <c r="Y246">
        <v>0</v>
      </c>
      <c r="Z246">
        <v>0</v>
      </c>
      <c r="AA246">
        <v>0</v>
      </c>
      <c r="AB246" t="s">
        <v>164</v>
      </c>
      <c r="AC246" t="s">
        <v>426</v>
      </c>
      <c r="AD246">
        <v>2024</v>
      </c>
      <c r="AE246" t="s">
        <v>76</v>
      </c>
      <c r="AF246" t="b">
        <v>1</v>
      </c>
      <c r="AG246">
        <v>604000</v>
      </c>
      <c r="AH246">
        <v>609142.86</v>
      </c>
      <c r="AI246">
        <v>0.82330000000000003</v>
      </c>
      <c r="AJ246">
        <v>0.77010000000000001</v>
      </c>
      <c r="AK246">
        <v>42</v>
      </c>
      <c r="AL246" t="s">
        <v>120</v>
      </c>
      <c r="AM246">
        <v>1398000</v>
      </c>
      <c r="AN246">
        <v>8.5800000000000001E-2</v>
      </c>
      <c r="AO246">
        <v>774</v>
      </c>
      <c r="AP246">
        <v>775</v>
      </c>
      <c r="AQ246" t="s">
        <v>78</v>
      </c>
      <c r="AR246" t="s">
        <v>79</v>
      </c>
      <c r="AS246">
        <v>1</v>
      </c>
      <c r="AT246">
        <v>2.2499999999999999E-2</v>
      </c>
      <c r="AU246">
        <v>0.61099999999999999</v>
      </c>
      <c r="AV246">
        <v>462210.51</v>
      </c>
      <c r="AW246">
        <v>6354.24</v>
      </c>
      <c r="AX246" t="b">
        <v>0</v>
      </c>
      <c r="AY246" t="b">
        <v>0</v>
      </c>
      <c r="AZ246" t="s">
        <v>80</v>
      </c>
      <c r="BA246">
        <v>0</v>
      </c>
      <c r="BB246">
        <v>0</v>
      </c>
      <c r="BC246">
        <v>0</v>
      </c>
      <c r="BD246">
        <v>0</v>
      </c>
      <c r="BE246" t="s">
        <v>108</v>
      </c>
      <c r="BF246" t="b">
        <v>0</v>
      </c>
    </row>
    <row r="247" spans="1:58" x14ac:dyDescent="0.3">
      <c r="A247" t="s">
        <v>668</v>
      </c>
      <c r="B247" t="s">
        <v>67</v>
      </c>
      <c r="C247" t="s">
        <v>669</v>
      </c>
      <c r="D247" t="s">
        <v>84</v>
      </c>
      <c r="E247" t="s">
        <v>85</v>
      </c>
      <c r="F247" t="s">
        <v>124</v>
      </c>
      <c r="G247" s="1">
        <v>44814</v>
      </c>
      <c r="H247" s="1">
        <v>45596</v>
      </c>
      <c r="I247" s="1">
        <v>47334</v>
      </c>
      <c r="J247">
        <v>2597600</v>
      </c>
      <c r="K247">
        <v>84</v>
      </c>
      <c r="L247">
        <v>59</v>
      </c>
      <c r="M247">
        <v>25</v>
      </c>
      <c r="N247">
        <v>9.19</v>
      </c>
      <c r="O247">
        <v>42043.9</v>
      </c>
      <c r="P247" t="s">
        <v>72</v>
      </c>
      <c r="Q247">
        <v>1699975.24</v>
      </c>
      <c r="R247">
        <v>42043.9</v>
      </c>
      <c r="S247">
        <v>42467.199999999997</v>
      </c>
      <c r="T247" s="1">
        <v>45575</v>
      </c>
      <c r="U247" t="s">
        <v>73</v>
      </c>
      <c r="V247">
        <v>0</v>
      </c>
      <c r="W247">
        <v>25</v>
      </c>
      <c r="X247">
        <v>25</v>
      </c>
      <c r="Y247">
        <v>0</v>
      </c>
      <c r="Z247">
        <v>0</v>
      </c>
      <c r="AA247">
        <v>0</v>
      </c>
      <c r="AB247" t="s">
        <v>97</v>
      </c>
      <c r="AC247" t="s">
        <v>152</v>
      </c>
      <c r="AD247">
        <v>2022</v>
      </c>
      <c r="AE247" t="s">
        <v>166</v>
      </c>
      <c r="AF247" t="b">
        <v>1</v>
      </c>
      <c r="AG247">
        <v>3379000</v>
      </c>
      <c r="AH247">
        <v>2307118.5</v>
      </c>
      <c r="AI247">
        <v>0.76880000000000004</v>
      </c>
      <c r="AJ247">
        <v>0.71870000000000001</v>
      </c>
      <c r="AK247">
        <v>29</v>
      </c>
      <c r="AL247" t="s">
        <v>132</v>
      </c>
      <c r="AM247">
        <v>2261000</v>
      </c>
      <c r="AN247">
        <v>0.22309999999999999</v>
      </c>
      <c r="AO247">
        <v>691</v>
      </c>
      <c r="AP247">
        <v>682</v>
      </c>
      <c r="AQ247" t="s">
        <v>127</v>
      </c>
      <c r="AR247" t="s">
        <v>185</v>
      </c>
      <c r="AS247">
        <v>1</v>
      </c>
      <c r="AT247">
        <v>1.5100000000000001E-2</v>
      </c>
      <c r="AU247">
        <v>0.5575</v>
      </c>
      <c r="AV247">
        <v>1774089.11</v>
      </c>
      <c r="AW247">
        <v>14934.73</v>
      </c>
      <c r="AX247" t="b">
        <v>0</v>
      </c>
      <c r="AY247" t="b">
        <v>0</v>
      </c>
      <c r="AZ247" t="s">
        <v>80</v>
      </c>
      <c r="BA247">
        <v>0</v>
      </c>
      <c r="BB247">
        <v>0</v>
      </c>
      <c r="BC247">
        <v>0</v>
      </c>
      <c r="BD247">
        <v>0</v>
      </c>
      <c r="BE247" t="s">
        <v>108</v>
      </c>
      <c r="BF247" t="b">
        <v>0</v>
      </c>
    </row>
    <row r="248" spans="1:58" x14ac:dyDescent="0.3">
      <c r="A248" t="s">
        <v>670</v>
      </c>
      <c r="B248" t="s">
        <v>67</v>
      </c>
      <c r="C248" t="s">
        <v>671</v>
      </c>
      <c r="D248" t="s">
        <v>84</v>
      </c>
      <c r="E248" t="s">
        <v>85</v>
      </c>
      <c r="F248" t="s">
        <v>71</v>
      </c>
      <c r="G248" s="1">
        <v>44978</v>
      </c>
      <c r="H248" s="1">
        <v>45596</v>
      </c>
      <c r="I248" s="1">
        <v>46058</v>
      </c>
      <c r="J248">
        <v>675900</v>
      </c>
      <c r="K248">
        <v>36</v>
      </c>
      <c r="L248">
        <v>16</v>
      </c>
      <c r="M248">
        <v>20</v>
      </c>
      <c r="N248">
        <v>8.1199999999999992</v>
      </c>
      <c r="O248">
        <v>21217.69</v>
      </c>
      <c r="P248" t="s">
        <v>72</v>
      </c>
      <c r="Q248">
        <v>303730.59000000003</v>
      </c>
      <c r="R248">
        <v>21217.69</v>
      </c>
      <c r="S248">
        <v>20827.13</v>
      </c>
      <c r="T248" s="1">
        <v>45578</v>
      </c>
      <c r="U248" t="s">
        <v>73</v>
      </c>
      <c r="V248">
        <v>0</v>
      </c>
      <c r="W248">
        <v>20</v>
      </c>
      <c r="X248">
        <v>20</v>
      </c>
      <c r="Y248">
        <v>0</v>
      </c>
      <c r="Z248">
        <v>0</v>
      </c>
      <c r="AA248">
        <v>0</v>
      </c>
      <c r="AB248" t="s">
        <v>97</v>
      </c>
      <c r="AC248" t="s">
        <v>152</v>
      </c>
      <c r="AD248">
        <v>2023</v>
      </c>
      <c r="AE248" t="s">
        <v>76</v>
      </c>
      <c r="AF248" t="b">
        <v>1</v>
      </c>
      <c r="AG248">
        <v>963000</v>
      </c>
      <c r="AH248">
        <v>781240.43</v>
      </c>
      <c r="AI248">
        <v>0.70179999999999998</v>
      </c>
      <c r="AJ248">
        <v>0.41499999999999998</v>
      </c>
      <c r="AK248">
        <v>30</v>
      </c>
      <c r="AL248" t="s">
        <v>106</v>
      </c>
      <c r="AM248">
        <v>1979000</v>
      </c>
      <c r="AN248">
        <v>0.12870000000000001</v>
      </c>
      <c r="AO248">
        <v>747</v>
      </c>
      <c r="AP248">
        <v>770</v>
      </c>
      <c r="AQ248" t="s">
        <v>145</v>
      </c>
      <c r="AR248" t="s">
        <v>157</v>
      </c>
      <c r="AS248">
        <v>1</v>
      </c>
      <c r="AT248">
        <v>2.0199999999999999E-2</v>
      </c>
      <c r="AU248">
        <v>0.53049999999999997</v>
      </c>
      <c r="AV248">
        <v>307104.15000000002</v>
      </c>
      <c r="AW248">
        <v>3290.96</v>
      </c>
      <c r="AX248" t="b">
        <v>0</v>
      </c>
      <c r="AY248" t="b">
        <v>0</v>
      </c>
      <c r="AZ248" t="s">
        <v>80</v>
      </c>
      <c r="BA248">
        <v>0</v>
      </c>
      <c r="BB248">
        <v>0</v>
      </c>
      <c r="BC248">
        <v>0</v>
      </c>
      <c r="BD248">
        <v>0</v>
      </c>
      <c r="BE248" t="s">
        <v>134</v>
      </c>
      <c r="BF248" t="b">
        <v>1</v>
      </c>
    </row>
    <row r="249" spans="1:58" x14ac:dyDescent="0.3">
      <c r="A249" t="s">
        <v>672</v>
      </c>
      <c r="B249" t="s">
        <v>67</v>
      </c>
      <c r="C249" t="s">
        <v>673</v>
      </c>
      <c r="D249" t="s">
        <v>69</v>
      </c>
      <c r="E249" t="s">
        <v>70</v>
      </c>
      <c r="F249" t="s">
        <v>115</v>
      </c>
      <c r="G249" s="1">
        <v>45220</v>
      </c>
      <c r="H249" s="1">
        <v>45596</v>
      </c>
      <c r="I249" s="1">
        <v>46300</v>
      </c>
      <c r="J249">
        <v>1476800</v>
      </c>
      <c r="K249">
        <v>36</v>
      </c>
      <c r="L249">
        <v>24</v>
      </c>
      <c r="M249">
        <v>12</v>
      </c>
      <c r="N249">
        <v>11.69</v>
      </c>
      <c r="O249">
        <v>48832.52</v>
      </c>
      <c r="P249" t="s">
        <v>72</v>
      </c>
      <c r="Q249">
        <v>931697.09</v>
      </c>
      <c r="R249">
        <v>48832.52</v>
      </c>
      <c r="S249">
        <v>50846.26</v>
      </c>
      <c r="T249" s="1">
        <v>45586</v>
      </c>
      <c r="U249" t="s">
        <v>73</v>
      </c>
      <c r="V249">
        <v>0</v>
      </c>
      <c r="W249">
        <v>12</v>
      </c>
      <c r="X249">
        <v>12</v>
      </c>
      <c r="Y249">
        <v>0</v>
      </c>
      <c r="Z249">
        <v>0</v>
      </c>
      <c r="AA249">
        <v>0</v>
      </c>
      <c r="AB249" t="s">
        <v>164</v>
      </c>
      <c r="AC249" t="s">
        <v>279</v>
      </c>
      <c r="AD249">
        <v>2023</v>
      </c>
      <c r="AE249" t="s">
        <v>76</v>
      </c>
      <c r="AF249" t="b">
        <v>1</v>
      </c>
      <c r="AG249">
        <v>1646000</v>
      </c>
      <c r="AH249">
        <v>1547355.26</v>
      </c>
      <c r="AI249">
        <v>0.8972</v>
      </c>
      <c r="AJ249">
        <v>0.6613</v>
      </c>
      <c r="AK249">
        <v>30</v>
      </c>
      <c r="AL249" t="s">
        <v>106</v>
      </c>
      <c r="AM249">
        <v>3709000</v>
      </c>
      <c r="AN249">
        <v>0.158</v>
      </c>
      <c r="AO249">
        <v>772</v>
      </c>
      <c r="AP249">
        <v>802</v>
      </c>
      <c r="AQ249" t="s">
        <v>100</v>
      </c>
      <c r="AR249" t="s">
        <v>107</v>
      </c>
      <c r="AS249">
        <v>1</v>
      </c>
      <c r="AT249">
        <v>2.5100000000000001E-2</v>
      </c>
      <c r="AU249">
        <v>0.58279999999999998</v>
      </c>
      <c r="AV249">
        <v>971610.01</v>
      </c>
      <c r="AW249">
        <v>14212.98</v>
      </c>
      <c r="AX249" t="b">
        <v>0</v>
      </c>
      <c r="AY249" t="b">
        <v>0</v>
      </c>
      <c r="AZ249" t="s">
        <v>80</v>
      </c>
      <c r="BA249">
        <v>0</v>
      </c>
      <c r="BB249">
        <v>0</v>
      </c>
      <c r="BC249">
        <v>0</v>
      </c>
      <c r="BD249">
        <v>0</v>
      </c>
      <c r="BE249" t="s">
        <v>108</v>
      </c>
      <c r="BF249" t="b">
        <v>1</v>
      </c>
    </row>
    <row r="250" spans="1:58" x14ac:dyDescent="0.3">
      <c r="A250" t="s">
        <v>674</v>
      </c>
      <c r="B250" t="s">
        <v>67</v>
      </c>
      <c r="C250" t="s">
        <v>675</v>
      </c>
      <c r="D250" t="s">
        <v>69</v>
      </c>
      <c r="E250" t="s">
        <v>70</v>
      </c>
      <c r="F250" t="s">
        <v>71</v>
      </c>
      <c r="G250" s="1">
        <v>45319</v>
      </c>
      <c r="H250" s="1">
        <v>45596</v>
      </c>
      <c r="I250" s="1">
        <v>47479</v>
      </c>
      <c r="J250">
        <v>3005700</v>
      </c>
      <c r="K250">
        <v>72</v>
      </c>
      <c r="L250">
        <v>63</v>
      </c>
      <c r="M250">
        <v>9</v>
      </c>
      <c r="N250">
        <v>8</v>
      </c>
      <c r="O250">
        <v>52699.66</v>
      </c>
      <c r="P250" t="s">
        <v>72</v>
      </c>
      <c r="Q250">
        <v>2653692.08</v>
      </c>
      <c r="R250">
        <v>52699.66</v>
      </c>
      <c r="S250">
        <v>50601.94</v>
      </c>
      <c r="T250" s="1">
        <v>45587</v>
      </c>
      <c r="U250" t="s">
        <v>73</v>
      </c>
      <c r="V250">
        <v>0</v>
      </c>
      <c r="W250">
        <v>9</v>
      </c>
      <c r="X250">
        <v>9</v>
      </c>
      <c r="Y250">
        <v>0</v>
      </c>
      <c r="Z250">
        <v>0</v>
      </c>
      <c r="AA250">
        <v>0</v>
      </c>
      <c r="AB250" t="s">
        <v>174</v>
      </c>
      <c r="AC250" t="s">
        <v>423</v>
      </c>
      <c r="AD250">
        <v>2024</v>
      </c>
      <c r="AE250" t="s">
        <v>166</v>
      </c>
      <c r="AF250" t="b">
        <v>1</v>
      </c>
      <c r="AG250">
        <v>3474000</v>
      </c>
      <c r="AH250">
        <v>3022302.02</v>
      </c>
      <c r="AI250">
        <v>0.86519999999999997</v>
      </c>
      <c r="AJ250">
        <v>0.85640000000000005</v>
      </c>
      <c r="AK250">
        <v>34</v>
      </c>
      <c r="AL250" t="s">
        <v>120</v>
      </c>
      <c r="AM250">
        <v>757000</v>
      </c>
      <c r="AN250">
        <v>0.83540000000000003</v>
      </c>
      <c r="AO250">
        <v>732</v>
      </c>
      <c r="AP250">
        <v>756</v>
      </c>
      <c r="AQ250" t="s">
        <v>145</v>
      </c>
      <c r="AR250" t="s">
        <v>157</v>
      </c>
      <c r="AS250">
        <v>1</v>
      </c>
      <c r="AT250">
        <v>2.3699999999999999E-2</v>
      </c>
      <c r="AU250">
        <v>0.40870000000000001</v>
      </c>
      <c r="AV250">
        <v>2740101.34</v>
      </c>
      <c r="AW250">
        <v>26541.14</v>
      </c>
      <c r="AX250" t="b">
        <v>0</v>
      </c>
      <c r="AY250" t="b">
        <v>0</v>
      </c>
      <c r="AZ250" t="s">
        <v>80</v>
      </c>
      <c r="BA250">
        <v>0</v>
      </c>
      <c r="BB250">
        <v>0</v>
      </c>
      <c r="BC250">
        <v>0</v>
      </c>
      <c r="BD250">
        <v>0</v>
      </c>
      <c r="BE250" t="s">
        <v>108</v>
      </c>
      <c r="BF250" t="b">
        <v>0</v>
      </c>
    </row>
    <row r="251" spans="1:58" x14ac:dyDescent="0.3">
      <c r="A251" t="s">
        <v>676</v>
      </c>
      <c r="B251" t="s">
        <v>67</v>
      </c>
      <c r="C251" t="s">
        <v>677</v>
      </c>
      <c r="D251" t="s">
        <v>84</v>
      </c>
      <c r="E251" t="s">
        <v>85</v>
      </c>
      <c r="F251" t="s">
        <v>124</v>
      </c>
      <c r="G251" s="1">
        <v>45071</v>
      </c>
      <c r="H251" s="1">
        <v>45596</v>
      </c>
      <c r="I251" s="1">
        <v>47591</v>
      </c>
      <c r="J251">
        <v>803000</v>
      </c>
      <c r="K251">
        <v>84</v>
      </c>
      <c r="L251">
        <v>67</v>
      </c>
      <c r="M251">
        <v>17</v>
      </c>
      <c r="N251">
        <v>10.54</v>
      </c>
      <c r="O251">
        <v>13555.87</v>
      </c>
      <c r="P251" t="s">
        <v>139</v>
      </c>
      <c r="Q251">
        <v>590712.72</v>
      </c>
      <c r="R251">
        <v>13555.87</v>
      </c>
      <c r="S251">
        <v>13747.56</v>
      </c>
      <c r="T251" s="1">
        <v>45564</v>
      </c>
      <c r="U251" t="s">
        <v>73</v>
      </c>
      <c r="V251">
        <v>0</v>
      </c>
      <c r="W251">
        <v>17</v>
      </c>
      <c r="X251">
        <v>17</v>
      </c>
      <c r="Y251">
        <v>0</v>
      </c>
      <c r="Z251">
        <v>0</v>
      </c>
      <c r="AA251">
        <v>0</v>
      </c>
      <c r="AB251" t="s">
        <v>208</v>
      </c>
      <c r="AC251" t="s">
        <v>209</v>
      </c>
      <c r="AD251">
        <v>2019</v>
      </c>
      <c r="AE251" t="s">
        <v>76</v>
      </c>
      <c r="AF251" t="b">
        <v>0</v>
      </c>
      <c r="AG251">
        <v>1029000</v>
      </c>
      <c r="AH251">
        <v>774023.74</v>
      </c>
      <c r="AI251">
        <v>0.78039999999999998</v>
      </c>
      <c r="AJ251">
        <v>0.72119999999999995</v>
      </c>
      <c r="AK251">
        <v>48</v>
      </c>
      <c r="AL251" t="s">
        <v>77</v>
      </c>
      <c r="AM251">
        <v>460000</v>
      </c>
      <c r="AN251">
        <v>0.35360000000000003</v>
      </c>
      <c r="AO251">
        <v>711</v>
      </c>
      <c r="AP251">
        <v>711</v>
      </c>
      <c r="AQ251" t="s">
        <v>127</v>
      </c>
      <c r="AR251" t="s">
        <v>185</v>
      </c>
      <c r="AS251">
        <v>1</v>
      </c>
      <c r="AT251">
        <v>1.7299999999999999E-2</v>
      </c>
      <c r="AU251">
        <v>0.54600000000000004</v>
      </c>
      <c r="AV251">
        <v>601561.84</v>
      </c>
      <c r="AW251">
        <v>5682.23</v>
      </c>
      <c r="AX251" t="b">
        <v>0</v>
      </c>
      <c r="AY251" t="b">
        <v>0</v>
      </c>
      <c r="AZ251" t="s">
        <v>80</v>
      </c>
      <c r="BA251">
        <v>0</v>
      </c>
      <c r="BB251">
        <v>0</v>
      </c>
      <c r="BC251">
        <v>0</v>
      </c>
      <c r="BD251">
        <v>0</v>
      </c>
      <c r="BE251" t="s">
        <v>134</v>
      </c>
      <c r="BF251" t="b">
        <v>1</v>
      </c>
    </row>
    <row r="252" spans="1:58" x14ac:dyDescent="0.3">
      <c r="A252" t="s">
        <v>678</v>
      </c>
      <c r="B252" t="s">
        <v>67</v>
      </c>
      <c r="C252" t="s">
        <v>679</v>
      </c>
      <c r="D252" t="s">
        <v>84</v>
      </c>
      <c r="E252" t="s">
        <v>85</v>
      </c>
      <c r="F252" t="s">
        <v>115</v>
      </c>
      <c r="G252" s="1">
        <v>45398</v>
      </c>
      <c r="H252" s="1">
        <v>45596</v>
      </c>
      <c r="I252" s="1">
        <v>47558</v>
      </c>
      <c r="J252">
        <v>680000</v>
      </c>
      <c r="K252">
        <v>72</v>
      </c>
      <c r="L252">
        <v>66</v>
      </c>
      <c r="M252">
        <v>6</v>
      </c>
      <c r="N252">
        <v>14.5</v>
      </c>
      <c r="O252">
        <v>14194.61</v>
      </c>
      <c r="P252" t="s">
        <v>72</v>
      </c>
      <c r="Q252">
        <v>626705.91</v>
      </c>
      <c r="R252">
        <v>14194.61</v>
      </c>
      <c r="S252">
        <v>7894.65</v>
      </c>
      <c r="T252" s="1">
        <v>45596</v>
      </c>
      <c r="U252" t="s">
        <v>87</v>
      </c>
      <c r="V252">
        <v>1</v>
      </c>
      <c r="W252">
        <v>6</v>
      </c>
      <c r="X252">
        <v>5</v>
      </c>
      <c r="Y252">
        <v>0</v>
      </c>
      <c r="Z252">
        <v>0</v>
      </c>
      <c r="AA252">
        <v>0</v>
      </c>
      <c r="AB252" t="s">
        <v>104</v>
      </c>
      <c r="AC252" t="s">
        <v>156</v>
      </c>
      <c r="AD252">
        <v>2024</v>
      </c>
      <c r="AE252" t="s">
        <v>99</v>
      </c>
      <c r="AF252" t="b">
        <v>1</v>
      </c>
      <c r="AG252">
        <v>1025000</v>
      </c>
      <c r="AH252">
        <v>961610.27</v>
      </c>
      <c r="AI252">
        <v>0.66339999999999999</v>
      </c>
      <c r="AJ252">
        <v>0.65890000000000004</v>
      </c>
      <c r="AK252">
        <v>58</v>
      </c>
      <c r="AL252" t="s">
        <v>77</v>
      </c>
      <c r="AM252">
        <v>767000</v>
      </c>
      <c r="AN252">
        <v>0.22209999999999999</v>
      </c>
      <c r="AO252">
        <v>666</v>
      </c>
      <c r="AP252">
        <v>684</v>
      </c>
      <c r="AQ252" t="s">
        <v>100</v>
      </c>
      <c r="AR252" t="s">
        <v>107</v>
      </c>
      <c r="AS252">
        <v>1</v>
      </c>
      <c r="AT252">
        <v>2.3E-2</v>
      </c>
      <c r="AU252">
        <v>0.41220000000000001</v>
      </c>
      <c r="AV252">
        <v>647342.78</v>
      </c>
      <c r="AW252">
        <v>6137.2</v>
      </c>
      <c r="AX252" t="b">
        <v>0</v>
      </c>
      <c r="AY252" t="b">
        <v>0</v>
      </c>
      <c r="AZ252" t="s">
        <v>80</v>
      </c>
      <c r="BA252">
        <v>0</v>
      </c>
      <c r="BB252">
        <v>0</v>
      </c>
      <c r="BC252">
        <v>0</v>
      </c>
      <c r="BD252">
        <v>0</v>
      </c>
      <c r="BE252" t="s">
        <v>108</v>
      </c>
      <c r="BF252" t="b">
        <v>0</v>
      </c>
    </row>
    <row r="253" spans="1:58" x14ac:dyDescent="0.3">
      <c r="A253" t="s">
        <v>680</v>
      </c>
      <c r="B253" t="s">
        <v>67</v>
      </c>
      <c r="C253" t="s">
        <v>681</v>
      </c>
      <c r="D253" t="s">
        <v>95</v>
      </c>
      <c r="E253" t="s">
        <v>96</v>
      </c>
      <c r="F253" t="s">
        <v>86</v>
      </c>
      <c r="G253" s="1">
        <v>44840</v>
      </c>
      <c r="H253" s="1">
        <v>45596</v>
      </c>
      <c r="I253" s="1">
        <v>45920</v>
      </c>
      <c r="J253">
        <v>360100</v>
      </c>
      <c r="K253">
        <v>36</v>
      </c>
      <c r="L253">
        <v>12</v>
      </c>
      <c r="M253">
        <v>24</v>
      </c>
      <c r="N253">
        <v>11.04</v>
      </c>
      <c r="O253">
        <v>11796.03</v>
      </c>
      <c r="P253" t="s">
        <v>116</v>
      </c>
      <c r="Q253">
        <v>114575.89</v>
      </c>
      <c r="R253">
        <v>11796.03</v>
      </c>
      <c r="S253">
        <v>11987.85</v>
      </c>
      <c r="T253" s="1">
        <v>45594</v>
      </c>
      <c r="U253" t="s">
        <v>73</v>
      </c>
      <c r="V253">
        <v>0</v>
      </c>
      <c r="W253">
        <v>24</v>
      </c>
      <c r="X253">
        <v>24</v>
      </c>
      <c r="Y253">
        <v>0</v>
      </c>
      <c r="Z253">
        <v>0</v>
      </c>
      <c r="AA253">
        <v>0</v>
      </c>
      <c r="AB253" t="s">
        <v>74</v>
      </c>
      <c r="AC253" t="s">
        <v>75</v>
      </c>
      <c r="AD253">
        <v>2020</v>
      </c>
      <c r="AE253" t="s">
        <v>76</v>
      </c>
      <c r="AF253" t="b">
        <v>0</v>
      </c>
      <c r="AG253">
        <v>417000</v>
      </c>
      <c r="AH253">
        <v>281292.81</v>
      </c>
      <c r="AI253">
        <v>0.86360000000000003</v>
      </c>
      <c r="AJ253">
        <v>0.38590000000000002</v>
      </c>
      <c r="AK253">
        <v>34</v>
      </c>
      <c r="AL253" t="s">
        <v>120</v>
      </c>
      <c r="AM253">
        <v>4892000</v>
      </c>
      <c r="AN253">
        <v>2.8899999999999999E-2</v>
      </c>
      <c r="AO253">
        <v>818</v>
      </c>
      <c r="AP253">
        <v>768</v>
      </c>
      <c r="AQ253" t="s">
        <v>100</v>
      </c>
      <c r="AR253" t="s">
        <v>101</v>
      </c>
      <c r="AS253">
        <v>1</v>
      </c>
      <c r="AT253">
        <v>2.0299999999999999E-2</v>
      </c>
      <c r="AU253">
        <v>0.64580000000000004</v>
      </c>
      <c r="AV253">
        <v>116593.1</v>
      </c>
      <c r="AW253">
        <v>1528.51</v>
      </c>
      <c r="AX253" t="b">
        <v>0</v>
      </c>
      <c r="AY253" t="b">
        <v>0</v>
      </c>
      <c r="AZ253" t="s">
        <v>80</v>
      </c>
      <c r="BA253">
        <v>0</v>
      </c>
      <c r="BB253">
        <v>0</v>
      </c>
      <c r="BC253">
        <v>0</v>
      </c>
      <c r="BD253">
        <v>0</v>
      </c>
      <c r="BE253" t="s">
        <v>81</v>
      </c>
      <c r="BF253" t="b">
        <v>1</v>
      </c>
    </row>
    <row r="254" spans="1:58" x14ac:dyDescent="0.3">
      <c r="A254" t="s">
        <v>682</v>
      </c>
      <c r="B254" t="s">
        <v>67</v>
      </c>
      <c r="C254" t="s">
        <v>683</v>
      </c>
      <c r="D254" t="s">
        <v>84</v>
      </c>
      <c r="E254" t="s">
        <v>85</v>
      </c>
      <c r="F254" t="s">
        <v>86</v>
      </c>
      <c r="G254" s="1">
        <v>44582</v>
      </c>
      <c r="H254" s="1">
        <v>45596</v>
      </c>
      <c r="I254" s="1">
        <v>46022</v>
      </c>
      <c r="J254">
        <v>1572900</v>
      </c>
      <c r="K254">
        <v>48</v>
      </c>
      <c r="L254">
        <v>15</v>
      </c>
      <c r="M254">
        <v>33</v>
      </c>
      <c r="N254">
        <v>11.64</v>
      </c>
      <c r="O254">
        <v>41143.01</v>
      </c>
      <c r="P254" t="s">
        <v>72</v>
      </c>
      <c r="Q254">
        <v>462830.42</v>
      </c>
      <c r="R254">
        <v>41143.01</v>
      </c>
      <c r="S254">
        <v>41574.78</v>
      </c>
      <c r="T254" s="1">
        <v>45570</v>
      </c>
      <c r="U254" t="s">
        <v>73</v>
      </c>
      <c r="V254">
        <v>0</v>
      </c>
      <c r="W254">
        <v>33</v>
      </c>
      <c r="X254">
        <v>33</v>
      </c>
      <c r="Y254">
        <v>0</v>
      </c>
      <c r="Z254">
        <v>0</v>
      </c>
      <c r="AA254">
        <v>0</v>
      </c>
      <c r="AB254" t="s">
        <v>208</v>
      </c>
      <c r="AC254" t="s">
        <v>651</v>
      </c>
      <c r="AD254">
        <v>2022</v>
      </c>
      <c r="AE254" t="s">
        <v>76</v>
      </c>
      <c r="AF254" t="b">
        <v>1</v>
      </c>
      <c r="AG254">
        <v>1940000</v>
      </c>
      <c r="AH254">
        <v>1247120.06</v>
      </c>
      <c r="AI254">
        <v>0.81079999999999997</v>
      </c>
      <c r="AJ254">
        <v>0.39500000000000002</v>
      </c>
      <c r="AK254">
        <v>51</v>
      </c>
      <c r="AL254" t="s">
        <v>132</v>
      </c>
      <c r="AM254">
        <v>1078000</v>
      </c>
      <c r="AN254">
        <v>0.45800000000000002</v>
      </c>
      <c r="AO254">
        <v>816</v>
      </c>
      <c r="AP254">
        <v>786</v>
      </c>
      <c r="AQ254" t="s">
        <v>127</v>
      </c>
      <c r="AR254" t="s">
        <v>215</v>
      </c>
      <c r="AS254">
        <v>1</v>
      </c>
      <c r="AT254">
        <v>2.5899999999999999E-2</v>
      </c>
      <c r="AU254">
        <v>0.55900000000000005</v>
      </c>
      <c r="AV254">
        <v>467288.11</v>
      </c>
      <c r="AW254">
        <v>6765.44</v>
      </c>
      <c r="AX254" t="b">
        <v>0</v>
      </c>
      <c r="AY254" t="b">
        <v>0</v>
      </c>
      <c r="AZ254" t="s">
        <v>80</v>
      </c>
      <c r="BA254">
        <v>0</v>
      </c>
      <c r="BB254">
        <v>0</v>
      </c>
      <c r="BC254">
        <v>0</v>
      </c>
      <c r="BD254">
        <v>0</v>
      </c>
      <c r="BE254" t="s">
        <v>108</v>
      </c>
      <c r="BF254" t="b">
        <v>1</v>
      </c>
    </row>
    <row r="255" spans="1:58" x14ac:dyDescent="0.3">
      <c r="A255" t="s">
        <v>684</v>
      </c>
      <c r="B255" t="s">
        <v>67</v>
      </c>
      <c r="C255" t="s">
        <v>685</v>
      </c>
      <c r="D255" t="s">
        <v>95</v>
      </c>
      <c r="E255" t="s">
        <v>96</v>
      </c>
      <c r="F255" t="s">
        <v>124</v>
      </c>
      <c r="G255" s="1">
        <v>44844</v>
      </c>
      <c r="H255" s="1">
        <v>45596</v>
      </c>
      <c r="I255" s="1">
        <v>45924</v>
      </c>
      <c r="J255">
        <v>243300</v>
      </c>
      <c r="K255">
        <v>36</v>
      </c>
      <c r="L255">
        <v>12</v>
      </c>
      <c r="M255">
        <v>24</v>
      </c>
      <c r="N255">
        <v>9.81</v>
      </c>
      <c r="O255">
        <v>7828.92</v>
      </c>
      <c r="P255" t="s">
        <v>139</v>
      </c>
      <c r="Q255">
        <v>74072.37</v>
      </c>
      <c r="R255">
        <v>7828.92</v>
      </c>
      <c r="S255">
        <v>8139.39</v>
      </c>
      <c r="T255" s="1">
        <v>45586</v>
      </c>
      <c r="U255" t="s">
        <v>73</v>
      </c>
      <c r="V255">
        <v>0</v>
      </c>
      <c r="W255">
        <v>24</v>
      </c>
      <c r="X255">
        <v>24</v>
      </c>
      <c r="Y255">
        <v>0</v>
      </c>
      <c r="Z255">
        <v>0</v>
      </c>
      <c r="AA255">
        <v>0</v>
      </c>
      <c r="AB255" t="s">
        <v>174</v>
      </c>
      <c r="AC255" t="s">
        <v>423</v>
      </c>
      <c r="AD255">
        <v>2017</v>
      </c>
      <c r="AE255" t="s">
        <v>76</v>
      </c>
      <c r="AF255" t="b">
        <v>0</v>
      </c>
      <c r="AG255">
        <v>381000</v>
      </c>
      <c r="AH255">
        <v>261397.5</v>
      </c>
      <c r="AI255">
        <v>0.63849999999999996</v>
      </c>
      <c r="AJ255">
        <v>0.27310000000000001</v>
      </c>
      <c r="AK255">
        <v>41</v>
      </c>
      <c r="AL255" t="s">
        <v>77</v>
      </c>
      <c r="AM255">
        <v>4384000</v>
      </c>
      <c r="AN255">
        <v>2.1399999999999999E-2</v>
      </c>
      <c r="AO255">
        <v>707</v>
      </c>
      <c r="AP255">
        <v>692</v>
      </c>
      <c r="AQ255" t="s">
        <v>145</v>
      </c>
      <c r="AR255" t="s">
        <v>146</v>
      </c>
      <c r="AS255">
        <v>1</v>
      </c>
      <c r="AT255">
        <v>1.5100000000000001E-2</v>
      </c>
      <c r="AU255">
        <v>0.45469999999999999</v>
      </c>
      <c r="AV255">
        <v>76191.429999999993</v>
      </c>
      <c r="AW255">
        <v>523.13</v>
      </c>
      <c r="AX255" t="b">
        <v>0</v>
      </c>
      <c r="AY255" t="b">
        <v>0</v>
      </c>
      <c r="AZ255" t="s">
        <v>80</v>
      </c>
      <c r="BA255">
        <v>0</v>
      </c>
      <c r="BB255">
        <v>0</v>
      </c>
      <c r="BC255">
        <v>0</v>
      </c>
      <c r="BD255">
        <v>0</v>
      </c>
      <c r="BE255" t="s">
        <v>81</v>
      </c>
      <c r="BF255" t="b">
        <v>1</v>
      </c>
    </row>
    <row r="256" spans="1:58" x14ac:dyDescent="0.3">
      <c r="A256" t="s">
        <v>686</v>
      </c>
      <c r="B256" t="s">
        <v>67</v>
      </c>
      <c r="C256" t="s">
        <v>687</v>
      </c>
      <c r="D256" t="s">
        <v>84</v>
      </c>
      <c r="E256" t="s">
        <v>85</v>
      </c>
      <c r="F256" t="s">
        <v>124</v>
      </c>
      <c r="G256" s="1">
        <v>44994</v>
      </c>
      <c r="H256" s="1">
        <v>45596</v>
      </c>
      <c r="I256" s="1">
        <v>47154</v>
      </c>
      <c r="J256">
        <v>1187700</v>
      </c>
      <c r="K256">
        <v>72</v>
      </c>
      <c r="L256">
        <v>53</v>
      </c>
      <c r="M256">
        <v>19</v>
      </c>
      <c r="N256">
        <v>10.84</v>
      </c>
      <c r="O256">
        <v>22509.56</v>
      </c>
      <c r="P256" t="s">
        <v>72</v>
      </c>
      <c r="Q256">
        <v>803581.31</v>
      </c>
      <c r="R256">
        <v>22509.56</v>
      </c>
      <c r="S256">
        <v>22555.919999999998</v>
      </c>
      <c r="T256" s="1">
        <v>45582</v>
      </c>
      <c r="U256" t="s">
        <v>73</v>
      </c>
      <c r="V256">
        <v>0</v>
      </c>
      <c r="W256">
        <v>19</v>
      </c>
      <c r="X256">
        <v>19</v>
      </c>
      <c r="Y256">
        <v>0</v>
      </c>
      <c r="Z256">
        <v>0</v>
      </c>
      <c r="AA256">
        <v>0</v>
      </c>
      <c r="AB256" t="s">
        <v>208</v>
      </c>
      <c r="AC256" t="s">
        <v>651</v>
      </c>
      <c r="AD256">
        <v>2023</v>
      </c>
      <c r="AE256" t="s">
        <v>90</v>
      </c>
      <c r="AF256" t="b">
        <v>1</v>
      </c>
      <c r="AG256">
        <v>1307000</v>
      </c>
      <c r="AH256">
        <v>969690.67</v>
      </c>
      <c r="AI256">
        <v>0.90869999999999995</v>
      </c>
      <c r="AJ256">
        <v>0.7964</v>
      </c>
      <c r="AK256">
        <v>55</v>
      </c>
      <c r="AL256" t="s">
        <v>77</v>
      </c>
      <c r="AM256">
        <v>3391000</v>
      </c>
      <c r="AN256">
        <v>7.9699999999999993E-2</v>
      </c>
      <c r="AO256">
        <v>686</v>
      </c>
      <c r="AP256">
        <v>684</v>
      </c>
      <c r="AQ256" t="s">
        <v>78</v>
      </c>
      <c r="AR256" t="s">
        <v>133</v>
      </c>
      <c r="AS256">
        <v>1</v>
      </c>
      <c r="AT256">
        <v>1.6199999999999999E-2</v>
      </c>
      <c r="AU256">
        <v>0.64590000000000003</v>
      </c>
      <c r="AV256">
        <v>835663.04</v>
      </c>
      <c r="AW256">
        <v>8744.0300000000007</v>
      </c>
      <c r="AX256" t="b">
        <v>0</v>
      </c>
      <c r="AY256" t="b">
        <v>0</v>
      </c>
      <c r="AZ256" t="s">
        <v>80</v>
      </c>
      <c r="BA256">
        <v>0</v>
      </c>
      <c r="BB256">
        <v>0</v>
      </c>
      <c r="BC256">
        <v>0</v>
      </c>
      <c r="BD256">
        <v>0</v>
      </c>
      <c r="BE256" t="s">
        <v>134</v>
      </c>
      <c r="BF256" t="b">
        <v>1</v>
      </c>
    </row>
    <row r="257" spans="1:58" x14ac:dyDescent="0.3">
      <c r="A257" t="s">
        <v>688</v>
      </c>
      <c r="B257" t="s">
        <v>67</v>
      </c>
      <c r="C257" t="s">
        <v>689</v>
      </c>
      <c r="D257" t="s">
        <v>84</v>
      </c>
      <c r="E257" t="s">
        <v>85</v>
      </c>
      <c r="F257" t="s">
        <v>115</v>
      </c>
      <c r="G257" s="1">
        <v>44375</v>
      </c>
      <c r="H257" s="1">
        <v>45596</v>
      </c>
      <c r="I257" s="1">
        <v>45815</v>
      </c>
      <c r="J257">
        <v>557300</v>
      </c>
      <c r="K257">
        <v>48</v>
      </c>
      <c r="L257">
        <v>8</v>
      </c>
      <c r="M257">
        <v>40</v>
      </c>
      <c r="N257">
        <v>14.11</v>
      </c>
      <c r="O257">
        <v>15259.81</v>
      </c>
      <c r="P257" t="s">
        <v>72</v>
      </c>
      <c r="Q257">
        <v>85895.44</v>
      </c>
      <c r="R257">
        <v>15259.81</v>
      </c>
      <c r="S257">
        <v>15947.83</v>
      </c>
      <c r="T257" s="1">
        <v>45563</v>
      </c>
      <c r="U257" t="s">
        <v>73</v>
      </c>
      <c r="V257">
        <v>0</v>
      </c>
      <c r="W257">
        <v>40</v>
      </c>
      <c r="X257">
        <v>40</v>
      </c>
      <c r="Y257">
        <v>0</v>
      </c>
      <c r="Z257">
        <v>0</v>
      </c>
      <c r="AA257">
        <v>0</v>
      </c>
      <c r="AB257" t="s">
        <v>88</v>
      </c>
      <c r="AC257" t="s">
        <v>171</v>
      </c>
      <c r="AD257">
        <v>2021</v>
      </c>
      <c r="AE257" t="s">
        <v>99</v>
      </c>
      <c r="AF257" t="b">
        <v>1</v>
      </c>
      <c r="AG257">
        <v>889000</v>
      </c>
      <c r="AH257">
        <v>479299.12</v>
      </c>
      <c r="AI257">
        <v>0.62680000000000002</v>
      </c>
      <c r="AJ257">
        <v>0.18579999999999999</v>
      </c>
      <c r="AK257">
        <v>30</v>
      </c>
      <c r="AL257" t="s">
        <v>106</v>
      </c>
      <c r="AM257">
        <v>2769000</v>
      </c>
      <c r="AN257">
        <v>6.6100000000000006E-2</v>
      </c>
      <c r="AO257">
        <v>652</v>
      </c>
      <c r="AP257">
        <v>656</v>
      </c>
      <c r="AQ257" t="s">
        <v>78</v>
      </c>
      <c r="AR257" t="s">
        <v>79</v>
      </c>
      <c r="AS257">
        <v>1</v>
      </c>
      <c r="AT257">
        <v>2.2599999999999999E-2</v>
      </c>
      <c r="AU257">
        <v>0.56079999999999997</v>
      </c>
      <c r="AV257">
        <v>89115.09</v>
      </c>
      <c r="AW257">
        <v>1129.45</v>
      </c>
      <c r="AX257" t="b">
        <v>0</v>
      </c>
      <c r="AY257" t="b">
        <v>1</v>
      </c>
      <c r="AZ257" t="s">
        <v>361</v>
      </c>
      <c r="BA257">
        <v>0</v>
      </c>
      <c r="BB257">
        <v>0</v>
      </c>
      <c r="BC257">
        <v>0</v>
      </c>
      <c r="BD257">
        <v>0</v>
      </c>
      <c r="BE257" t="s">
        <v>108</v>
      </c>
      <c r="BF257" t="b">
        <v>0</v>
      </c>
    </row>
    <row r="258" spans="1:58" x14ac:dyDescent="0.3">
      <c r="A258" t="s">
        <v>690</v>
      </c>
      <c r="B258" t="s">
        <v>67</v>
      </c>
      <c r="C258" t="s">
        <v>691</v>
      </c>
      <c r="D258" t="s">
        <v>95</v>
      </c>
      <c r="E258" t="s">
        <v>96</v>
      </c>
      <c r="F258" t="s">
        <v>71</v>
      </c>
      <c r="G258" s="1">
        <v>44283</v>
      </c>
      <c r="H258" s="1">
        <v>45596</v>
      </c>
      <c r="I258" s="1">
        <v>46083</v>
      </c>
      <c r="J258">
        <v>1120000</v>
      </c>
      <c r="K258">
        <v>60</v>
      </c>
      <c r="L258">
        <v>17</v>
      </c>
      <c r="M258">
        <v>43</v>
      </c>
      <c r="N258">
        <v>13.38</v>
      </c>
      <c r="O258">
        <v>25701.84</v>
      </c>
      <c r="P258" t="s">
        <v>72</v>
      </c>
      <c r="Q258">
        <v>310051.38</v>
      </c>
      <c r="R258">
        <v>25701.84</v>
      </c>
      <c r="S258">
        <v>26881.9</v>
      </c>
      <c r="T258" s="1">
        <v>45564</v>
      </c>
      <c r="U258" t="s">
        <v>73</v>
      </c>
      <c r="V258">
        <v>0</v>
      </c>
      <c r="W258">
        <v>43</v>
      </c>
      <c r="X258">
        <v>43</v>
      </c>
      <c r="Y258">
        <v>0</v>
      </c>
      <c r="Z258">
        <v>0</v>
      </c>
      <c r="AA258">
        <v>0</v>
      </c>
      <c r="AB258" t="s">
        <v>104</v>
      </c>
      <c r="AC258" t="s">
        <v>156</v>
      </c>
      <c r="AD258">
        <v>2021</v>
      </c>
      <c r="AE258" t="s">
        <v>90</v>
      </c>
      <c r="AF258" t="b">
        <v>1</v>
      </c>
      <c r="AG258">
        <v>1694000</v>
      </c>
      <c r="AH258">
        <v>873308.52</v>
      </c>
      <c r="AI258">
        <v>0.66120000000000001</v>
      </c>
      <c r="AJ258">
        <v>0.37819999999999998</v>
      </c>
      <c r="AK258">
        <v>52</v>
      </c>
      <c r="AL258" t="s">
        <v>120</v>
      </c>
      <c r="AM258">
        <v>2082000</v>
      </c>
      <c r="AN258">
        <v>0.14810000000000001</v>
      </c>
      <c r="AO258">
        <v>745</v>
      </c>
      <c r="AP258">
        <v>709</v>
      </c>
      <c r="AQ258" t="s">
        <v>91</v>
      </c>
      <c r="AR258" t="s">
        <v>252</v>
      </c>
      <c r="AS258">
        <v>1</v>
      </c>
      <c r="AT258">
        <v>1.4E-2</v>
      </c>
      <c r="AU258">
        <v>0.53939999999999999</v>
      </c>
      <c r="AV258">
        <v>316153.52</v>
      </c>
      <c r="AW258">
        <v>2387.46</v>
      </c>
      <c r="AX258" t="b">
        <v>0</v>
      </c>
      <c r="AY258" t="b">
        <v>0</v>
      </c>
      <c r="AZ258" t="s">
        <v>80</v>
      </c>
      <c r="BA258">
        <v>0</v>
      </c>
      <c r="BB258">
        <v>0</v>
      </c>
      <c r="BC258">
        <v>0</v>
      </c>
      <c r="BD258">
        <v>0</v>
      </c>
      <c r="BE258" t="s">
        <v>108</v>
      </c>
      <c r="BF258" t="b">
        <v>0</v>
      </c>
    </row>
    <row r="259" spans="1:58" x14ac:dyDescent="0.3">
      <c r="A259" t="s">
        <v>692</v>
      </c>
      <c r="B259" t="s">
        <v>67</v>
      </c>
      <c r="C259" t="s">
        <v>693</v>
      </c>
      <c r="D259" t="s">
        <v>84</v>
      </c>
      <c r="E259" t="s">
        <v>85</v>
      </c>
      <c r="F259" t="s">
        <v>86</v>
      </c>
      <c r="G259" s="1">
        <v>44269</v>
      </c>
      <c r="H259" s="1">
        <v>45596</v>
      </c>
      <c r="I259" s="1">
        <v>46069</v>
      </c>
      <c r="J259">
        <v>531700</v>
      </c>
      <c r="K259">
        <v>60</v>
      </c>
      <c r="L259">
        <v>17</v>
      </c>
      <c r="M259">
        <v>43</v>
      </c>
      <c r="N259">
        <v>9.59</v>
      </c>
      <c r="O259">
        <v>11190.09</v>
      </c>
      <c r="P259" t="s">
        <v>72</v>
      </c>
      <c r="Q259">
        <v>138005.10999999999</v>
      </c>
      <c r="R259">
        <v>11190.09</v>
      </c>
      <c r="S259">
        <v>10752.22</v>
      </c>
      <c r="T259" s="1">
        <v>45568</v>
      </c>
      <c r="U259" t="s">
        <v>73</v>
      </c>
      <c r="V259">
        <v>0</v>
      </c>
      <c r="W259">
        <v>43</v>
      </c>
      <c r="X259">
        <v>43</v>
      </c>
      <c r="Y259">
        <v>0</v>
      </c>
      <c r="Z259">
        <v>0</v>
      </c>
      <c r="AA259">
        <v>0</v>
      </c>
      <c r="AB259" t="s">
        <v>164</v>
      </c>
      <c r="AC259" t="s">
        <v>426</v>
      </c>
      <c r="AD259">
        <v>2021</v>
      </c>
      <c r="AE259" t="s">
        <v>99</v>
      </c>
      <c r="AF259" t="b">
        <v>1</v>
      </c>
      <c r="AG259">
        <v>652000</v>
      </c>
      <c r="AH259">
        <v>325431.37</v>
      </c>
      <c r="AI259">
        <v>0.81540000000000001</v>
      </c>
      <c r="AJ259">
        <v>0.43730000000000002</v>
      </c>
      <c r="AK259">
        <v>36</v>
      </c>
      <c r="AL259" t="s">
        <v>120</v>
      </c>
      <c r="AM259">
        <v>1966000</v>
      </c>
      <c r="AN259">
        <v>6.83E-2</v>
      </c>
      <c r="AO259">
        <v>675</v>
      </c>
      <c r="AP259">
        <v>680</v>
      </c>
      <c r="AQ259" t="s">
        <v>127</v>
      </c>
      <c r="AR259" t="s">
        <v>153</v>
      </c>
      <c r="AS259">
        <v>1</v>
      </c>
      <c r="AT259">
        <v>1.67E-2</v>
      </c>
      <c r="AU259">
        <v>0.46860000000000002</v>
      </c>
      <c r="AV259">
        <v>140070.25</v>
      </c>
      <c r="AW259">
        <v>1096.1400000000001</v>
      </c>
      <c r="AX259" t="b">
        <v>0</v>
      </c>
      <c r="AY259" t="b">
        <v>0</v>
      </c>
      <c r="AZ259" t="s">
        <v>80</v>
      </c>
      <c r="BA259">
        <v>0</v>
      </c>
      <c r="BB259">
        <v>0</v>
      </c>
      <c r="BC259">
        <v>0</v>
      </c>
      <c r="BD259">
        <v>0</v>
      </c>
      <c r="BE259" t="s">
        <v>134</v>
      </c>
      <c r="BF259" t="b">
        <v>1</v>
      </c>
    </row>
    <row r="260" spans="1:58" x14ac:dyDescent="0.3">
      <c r="A260" t="s">
        <v>694</v>
      </c>
      <c r="B260" t="s">
        <v>67</v>
      </c>
      <c r="C260" t="s">
        <v>695</v>
      </c>
      <c r="D260" t="s">
        <v>84</v>
      </c>
      <c r="E260" t="s">
        <v>85</v>
      </c>
      <c r="F260" t="s">
        <v>124</v>
      </c>
      <c r="G260" s="1">
        <v>45096</v>
      </c>
      <c r="H260" s="1">
        <v>45596</v>
      </c>
      <c r="I260" s="1">
        <v>46536</v>
      </c>
      <c r="J260">
        <v>741900</v>
      </c>
      <c r="K260">
        <v>48</v>
      </c>
      <c r="L260">
        <v>32</v>
      </c>
      <c r="M260">
        <v>16</v>
      </c>
      <c r="N260">
        <v>8.27</v>
      </c>
      <c r="O260">
        <v>18206.12</v>
      </c>
      <c r="P260" t="s">
        <v>72</v>
      </c>
      <c r="Q260">
        <v>466276.71</v>
      </c>
      <c r="R260">
        <v>18206.12</v>
      </c>
      <c r="S260">
        <v>11176.88</v>
      </c>
      <c r="T260" s="1">
        <v>45581</v>
      </c>
      <c r="U260" t="s">
        <v>163</v>
      </c>
      <c r="V260">
        <v>105</v>
      </c>
      <c r="W260">
        <v>16</v>
      </c>
      <c r="X260">
        <v>13</v>
      </c>
      <c r="Y260">
        <v>2</v>
      </c>
      <c r="Z260">
        <v>1</v>
      </c>
      <c r="AA260">
        <v>2</v>
      </c>
      <c r="AB260" t="s">
        <v>208</v>
      </c>
      <c r="AC260" t="s">
        <v>344</v>
      </c>
      <c r="AD260">
        <v>2023</v>
      </c>
      <c r="AE260" t="s">
        <v>166</v>
      </c>
      <c r="AF260" t="b">
        <v>1</v>
      </c>
      <c r="AG260">
        <v>816000</v>
      </c>
      <c r="AH260">
        <v>600257.46</v>
      </c>
      <c r="AI260">
        <v>0.9093</v>
      </c>
      <c r="AJ260">
        <v>0.70720000000000005</v>
      </c>
      <c r="AK260">
        <v>48</v>
      </c>
      <c r="AL260" t="s">
        <v>120</v>
      </c>
      <c r="AM260">
        <v>3796000</v>
      </c>
      <c r="AN260">
        <v>5.7599999999999998E-2</v>
      </c>
      <c r="AO260">
        <v>658</v>
      </c>
      <c r="AP260">
        <v>628</v>
      </c>
      <c r="AQ260" t="s">
        <v>100</v>
      </c>
      <c r="AR260" t="s">
        <v>107</v>
      </c>
      <c r="AS260">
        <v>3</v>
      </c>
      <c r="AT260">
        <v>0.66200000000000003</v>
      </c>
      <c r="AU260">
        <v>0.63729999999999998</v>
      </c>
      <c r="AV260">
        <v>484757.89</v>
      </c>
      <c r="AW260">
        <v>204515.77</v>
      </c>
      <c r="AX260" t="b">
        <v>0</v>
      </c>
      <c r="AY260" t="b">
        <v>0</v>
      </c>
      <c r="AZ260" t="s">
        <v>80</v>
      </c>
      <c r="BA260">
        <v>0</v>
      </c>
      <c r="BB260">
        <v>0</v>
      </c>
      <c r="BC260">
        <v>0</v>
      </c>
      <c r="BD260">
        <v>0</v>
      </c>
      <c r="BE260" t="s">
        <v>81</v>
      </c>
      <c r="BF260" t="b">
        <v>1</v>
      </c>
    </row>
    <row r="261" spans="1:58" x14ac:dyDescent="0.3">
      <c r="A261" t="s">
        <v>696</v>
      </c>
      <c r="B261" t="s">
        <v>67</v>
      </c>
      <c r="C261" t="s">
        <v>697</v>
      </c>
      <c r="D261" t="s">
        <v>84</v>
      </c>
      <c r="E261" t="s">
        <v>85</v>
      </c>
      <c r="F261" t="s">
        <v>71</v>
      </c>
      <c r="G261" s="1">
        <v>44897</v>
      </c>
      <c r="H261" s="1">
        <v>45596</v>
      </c>
      <c r="I261" s="1">
        <v>45977</v>
      </c>
      <c r="J261">
        <v>1465300</v>
      </c>
      <c r="K261">
        <v>36</v>
      </c>
      <c r="L261">
        <v>14</v>
      </c>
      <c r="M261">
        <v>22</v>
      </c>
      <c r="N261">
        <v>12.83</v>
      </c>
      <c r="O261">
        <v>49251.85</v>
      </c>
      <c r="P261" t="s">
        <v>72</v>
      </c>
      <c r="Q261">
        <v>534031.41</v>
      </c>
      <c r="R261">
        <v>49251.85</v>
      </c>
      <c r="S261">
        <v>46978.22</v>
      </c>
      <c r="T261" s="1">
        <v>45584</v>
      </c>
      <c r="U261" t="s">
        <v>73</v>
      </c>
      <c r="V261">
        <v>0</v>
      </c>
      <c r="W261">
        <v>22</v>
      </c>
      <c r="X261">
        <v>22</v>
      </c>
      <c r="Y261">
        <v>0</v>
      </c>
      <c r="Z261">
        <v>0</v>
      </c>
      <c r="AA261">
        <v>0</v>
      </c>
      <c r="AB261" t="s">
        <v>174</v>
      </c>
      <c r="AC261" t="s">
        <v>175</v>
      </c>
      <c r="AD261">
        <v>2022</v>
      </c>
      <c r="AE261" t="s">
        <v>166</v>
      </c>
      <c r="AF261" t="b">
        <v>1</v>
      </c>
      <c r="AG261">
        <v>2097000</v>
      </c>
      <c r="AH261">
        <v>1675845.39</v>
      </c>
      <c r="AI261">
        <v>0.69879999999999998</v>
      </c>
      <c r="AJ261">
        <v>0.34599999999999997</v>
      </c>
      <c r="AK261">
        <v>55</v>
      </c>
      <c r="AL261" t="s">
        <v>77</v>
      </c>
      <c r="AM261">
        <v>1472000</v>
      </c>
      <c r="AN261">
        <v>0.40150000000000002</v>
      </c>
      <c r="AO261">
        <v>846</v>
      </c>
      <c r="AP261">
        <v>810</v>
      </c>
      <c r="AQ261" t="s">
        <v>91</v>
      </c>
      <c r="AR261" t="s">
        <v>252</v>
      </c>
      <c r="AS261">
        <v>1</v>
      </c>
      <c r="AT261">
        <v>1.6299999999999999E-2</v>
      </c>
      <c r="AU261">
        <v>0.60650000000000004</v>
      </c>
      <c r="AV261">
        <v>550824.24</v>
      </c>
      <c r="AW261">
        <v>5445.42</v>
      </c>
      <c r="AX261" t="b">
        <v>0</v>
      </c>
      <c r="AY261" t="b">
        <v>0</v>
      </c>
      <c r="AZ261" t="s">
        <v>80</v>
      </c>
      <c r="BA261">
        <v>0</v>
      </c>
      <c r="BB261">
        <v>0</v>
      </c>
      <c r="BC261">
        <v>0</v>
      </c>
      <c r="BD261">
        <v>0</v>
      </c>
      <c r="BE261" t="s">
        <v>134</v>
      </c>
      <c r="BF261" t="b">
        <v>1</v>
      </c>
    </row>
    <row r="262" spans="1:58" x14ac:dyDescent="0.3">
      <c r="A262" t="s">
        <v>698</v>
      </c>
      <c r="B262" t="s">
        <v>67</v>
      </c>
      <c r="C262" t="s">
        <v>699</v>
      </c>
      <c r="D262" t="s">
        <v>95</v>
      </c>
      <c r="E262" t="s">
        <v>96</v>
      </c>
      <c r="F262" t="s">
        <v>115</v>
      </c>
      <c r="G262" s="1">
        <v>45070</v>
      </c>
      <c r="H262" s="1">
        <v>45596</v>
      </c>
      <c r="I262" s="1">
        <v>46510</v>
      </c>
      <c r="J262">
        <v>924400</v>
      </c>
      <c r="K262">
        <v>48</v>
      </c>
      <c r="L262">
        <v>31</v>
      </c>
      <c r="M262">
        <v>17</v>
      </c>
      <c r="N262">
        <v>9.85</v>
      </c>
      <c r="O262">
        <v>23378.639999999999</v>
      </c>
      <c r="P262" t="s">
        <v>116</v>
      </c>
      <c r="Q262">
        <v>580220.03</v>
      </c>
      <c r="R262">
        <v>23378.639999999999</v>
      </c>
      <c r="S262">
        <v>22241.65</v>
      </c>
      <c r="T262" s="1">
        <v>45561</v>
      </c>
      <c r="U262" t="s">
        <v>73</v>
      </c>
      <c r="V262">
        <v>0</v>
      </c>
      <c r="W262">
        <v>17</v>
      </c>
      <c r="X262">
        <v>17</v>
      </c>
      <c r="Y262">
        <v>0</v>
      </c>
      <c r="Z262">
        <v>0</v>
      </c>
      <c r="AA262">
        <v>0</v>
      </c>
      <c r="AB262" t="s">
        <v>117</v>
      </c>
      <c r="AC262" t="s">
        <v>118</v>
      </c>
      <c r="AD262">
        <v>2022</v>
      </c>
      <c r="AE262" t="s">
        <v>166</v>
      </c>
      <c r="AF262" t="b">
        <v>0</v>
      </c>
      <c r="AG262">
        <v>1125000</v>
      </c>
      <c r="AH262">
        <v>943940.04</v>
      </c>
      <c r="AI262">
        <v>0.82169999999999999</v>
      </c>
      <c r="AJ262">
        <v>0.64790000000000003</v>
      </c>
      <c r="AK262">
        <v>50</v>
      </c>
      <c r="AL262" t="s">
        <v>132</v>
      </c>
      <c r="AM262">
        <v>1100000</v>
      </c>
      <c r="AN262">
        <v>0.255</v>
      </c>
      <c r="AO262">
        <v>721</v>
      </c>
      <c r="AP262">
        <v>715</v>
      </c>
      <c r="AQ262" t="s">
        <v>127</v>
      </c>
      <c r="AR262" t="s">
        <v>153</v>
      </c>
      <c r="AS262">
        <v>1</v>
      </c>
      <c r="AT262">
        <v>1.9199999999999998E-2</v>
      </c>
      <c r="AU262">
        <v>0.42570000000000002</v>
      </c>
      <c r="AV262">
        <v>594472.74</v>
      </c>
      <c r="AW262">
        <v>4858.8900000000003</v>
      </c>
      <c r="AX262" t="b">
        <v>0</v>
      </c>
      <c r="AY262" t="b">
        <v>0</v>
      </c>
      <c r="AZ262" t="s">
        <v>80</v>
      </c>
      <c r="BA262">
        <v>0</v>
      </c>
      <c r="BB262">
        <v>0</v>
      </c>
      <c r="BC262">
        <v>0</v>
      </c>
      <c r="BD262">
        <v>0</v>
      </c>
      <c r="BE262" t="s">
        <v>108</v>
      </c>
      <c r="BF262" t="b">
        <v>1</v>
      </c>
    </row>
    <row r="263" spans="1:58" x14ac:dyDescent="0.3">
      <c r="A263" t="s">
        <v>700</v>
      </c>
      <c r="B263" t="s">
        <v>67</v>
      </c>
      <c r="C263" t="s">
        <v>701</v>
      </c>
      <c r="D263" t="s">
        <v>84</v>
      </c>
      <c r="E263" t="s">
        <v>85</v>
      </c>
      <c r="F263" t="s">
        <v>86</v>
      </c>
      <c r="G263" s="1">
        <v>44463</v>
      </c>
      <c r="H263" s="1">
        <v>45596</v>
      </c>
      <c r="I263" s="1">
        <v>46983</v>
      </c>
      <c r="J263">
        <v>2262000</v>
      </c>
      <c r="K263">
        <v>84</v>
      </c>
      <c r="L263">
        <v>47</v>
      </c>
      <c r="M263">
        <v>37</v>
      </c>
      <c r="N263">
        <v>10.1</v>
      </c>
      <c r="O263">
        <v>37668.86</v>
      </c>
      <c r="P263" t="s">
        <v>72</v>
      </c>
      <c r="Q263">
        <v>1262525.8999999999</v>
      </c>
      <c r="R263">
        <v>37668.86</v>
      </c>
      <c r="S263">
        <v>36507.550000000003</v>
      </c>
      <c r="T263" s="1">
        <v>45561</v>
      </c>
      <c r="U263" t="s">
        <v>73</v>
      </c>
      <c r="V263">
        <v>0</v>
      </c>
      <c r="W263">
        <v>37</v>
      </c>
      <c r="X263">
        <v>37</v>
      </c>
      <c r="Y263">
        <v>0</v>
      </c>
      <c r="Z263">
        <v>0</v>
      </c>
      <c r="AA263">
        <v>0</v>
      </c>
      <c r="AB263" t="s">
        <v>111</v>
      </c>
      <c r="AC263" t="s">
        <v>112</v>
      </c>
      <c r="AD263">
        <v>2021</v>
      </c>
      <c r="AE263" t="s">
        <v>119</v>
      </c>
      <c r="AF263" t="b">
        <v>1</v>
      </c>
      <c r="AG263">
        <v>2806000</v>
      </c>
      <c r="AH263">
        <v>1626161.93</v>
      </c>
      <c r="AI263">
        <v>0.80610000000000004</v>
      </c>
      <c r="AJ263">
        <v>0.80920000000000003</v>
      </c>
      <c r="AK263">
        <v>62</v>
      </c>
      <c r="AL263" t="s">
        <v>120</v>
      </c>
      <c r="AM263">
        <v>710000</v>
      </c>
      <c r="AN263">
        <v>0.63670000000000004</v>
      </c>
      <c r="AO263">
        <v>677</v>
      </c>
      <c r="AP263">
        <v>643</v>
      </c>
      <c r="AQ263" t="s">
        <v>78</v>
      </c>
      <c r="AR263" t="s">
        <v>79</v>
      </c>
      <c r="AS263">
        <v>1</v>
      </c>
      <c r="AT263">
        <v>1.7600000000000001E-2</v>
      </c>
      <c r="AU263">
        <v>0.49230000000000002</v>
      </c>
      <c r="AV263">
        <v>1310564.25</v>
      </c>
      <c r="AW263">
        <v>11355.36</v>
      </c>
      <c r="AX263" t="b">
        <v>0</v>
      </c>
      <c r="AY263" t="b">
        <v>0</v>
      </c>
      <c r="AZ263" t="s">
        <v>80</v>
      </c>
      <c r="BA263">
        <v>0</v>
      </c>
      <c r="BB263">
        <v>0</v>
      </c>
      <c r="BC263">
        <v>0</v>
      </c>
      <c r="BD263">
        <v>0</v>
      </c>
      <c r="BE263" t="s">
        <v>81</v>
      </c>
      <c r="BF263" t="b">
        <v>1</v>
      </c>
    </row>
    <row r="264" spans="1:58" x14ac:dyDescent="0.3">
      <c r="A264" t="s">
        <v>702</v>
      </c>
      <c r="B264" t="s">
        <v>67</v>
      </c>
      <c r="C264" t="s">
        <v>703</v>
      </c>
      <c r="D264" t="s">
        <v>95</v>
      </c>
      <c r="E264" t="s">
        <v>96</v>
      </c>
      <c r="F264" t="s">
        <v>124</v>
      </c>
      <c r="G264" s="1">
        <v>45344</v>
      </c>
      <c r="H264" s="1">
        <v>45596</v>
      </c>
      <c r="I264" s="1">
        <v>47504</v>
      </c>
      <c r="J264">
        <v>701000</v>
      </c>
      <c r="K264">
        <v>72</v>
      </c>
      <c r="L264">
        <v>64</v>
      </c>
      <c r="M264">
        <v>8</v>
      </c>
      <c r="N264">
        <v>11.17</v>
      </c>
      <c r="O264">
        <v>13404.01</v>
      </c>
      <c r="P264" t="s">
        <v>72</v>
      </c>
      <c r="Q264">
        <v>649821.79</v>
      </c>
      <c r="R264">
        <v>13404.01</v>
      </c>
      <c r="S264">
        <v>95.02</v>
      </c>
      <c r="T264" s="1">
        <v>45564</v>
      </c>
      <c r="U264" t="s">
        <v>163</v>
      </c>
      <c r="V264">
        <v>96</v>
      </c>
      <c r="W264">
        <v>8</v>
      </c>
      <c r="X264">
        <v>2</v>
      </c>
      <c r="Y264">
        <v>0</v>
      </c>
      <c r="Z264">
        <v>0</v>
      </c>
      <c r="AA264">
        <v>1</v>
      </c>
      <c r="AB264" t="s">
        <v>111</v>
      </c>
      <c r="AC264" t="s">
        <v>112</v>
      </c>
      <c r="AD264">
        <v>2024</v>
      </c>
      <c r="AE264" t="s">
        <v>99</v>
      </c>
      <c r="AF264" t="b">
        <v>1</v>
      </c>
      <c r="AG264">
        <v>1124000</v>
      </c>
      <c r="AH264">
        <v>1007040.75</v>
      </c>
      <c r="AI264">
        <v>0.62370000000000003</v>
      </c>
      <c r="AJ264">
        <v>0.63949999999999996</v>
      </c>
      <c r="AK264">
        <v>23</v>
      </c>
      <c r="AL264" t="s">
        <v>77</v>
      </c>
      <c r="AM264">
        <v>3116000</v>
      </c>
      <c r="AN264">
        <v>5.16E-2</v>
      </c>
      <c r="AO264">
        <v>828</v>
      </c>
      <c r="AP264">
        <v>794</v>
      </c>
      <c r="AQ264" t="s">
        <v>91</v>
      </c>
      <c r="AR264" t="s">
        <v>92</v>
      </c>
      <c r="AS264">
        <v>3</v>
      </c>
      <c r="AT264">
        <v>0.7994</v>
      </c>
      <c r="AU264">
        <v>0.43140000000000001</v>
      </c>
      <c r="AV264">
        <v>655802.31000000006</v>
      </c>
      <c r="AW264">
        <v>226160.75</v>
      </c>
      <c r="AX264" t="b">
        <v>0</v>
      </c>
      <c r="AY264" t="b">
        <v>0</v>
      </c>
      <c r="AZ264" t="s">
        <v>80</v>
      </c>
      <c r="BA264">
        <v>0</v>
      </c>
      <c r="BB264">
        <v>0</v>
      </c>
      <c r="BC264">
        <v>0</v>
      </c>
      <c r="BD264">
        <v>0</v>
      </c>
      <c r="BE264" t="s">
        <v>108</v>
      </c>
      <c r="BF264" t="b">
        <v>1</v>
      </c>
    </row>
    <row r="265" spans="1:58" x14ac:dyDescent="0.3">
      <c r="A265" t="s">
        <v>704</v>
      </c>
      <c r="B265" t="s">
        <v>67</v>
      </c>
      <c r="C265" t="s">
        <v>705</v>
      </c>
      <c r="D265" t="s">
        <v>84</v>
      </c>
      <c r="E265" t="s">
        <v>85</v>
      </c>
      <c r="F265" t="s">
        <v>86</v>
      </c>
      <c r="G265" s="1">
        <v>45272</v>
      </c>
      <c r="H265" s="1">
        <v>45596</v>
      </c>
      <c r="I265" s="1">
        <v>46712</v>
      </c>
      <c r="J265">
        <v>2151300</v>
      </c>
      <c r="K265">
        <v>48</v>
      </c>
      <c r="L265">
        <v>38</v>
      </c>
      <c r="M265">
        <v>10</v>
      </c>
      <c r="N265">
        <v>9.07</v>
      </c>
      <c r="O265">
        <v>53606.73</v>
      </c>
      <c r="P265" t="s">
        <v>72</v>
      </c>
      <c r="Q265">
        <v>1669109.64</v>
      </c>
      <c r="R265">
        <v>53606.73</v>
      </c>
      <c r="S265">
        <v>52507.23</v>
      </c>
      <c r="T265" s="1">
        <v>45593</v>
      </c>
      <c r="U265" t="s">
        <v>73</v>
      </c>
      <c r="V265">
        <v>0</v>
      </c>
      <c r="W265">
        <v>10</v>
      </c>
      <c r="X265">
        <v>10</v>
      </c>
      <c r="Y265">
        <v>0</v>
      </c>
      <c r="Z265">
        <v>0</v>
      </c>
      <c r="AA265">
        <v>0</v>
      </c>
      <c r="AB265" t="s">
        <v>88</v>
      </c>
      <c r="AC265" t="s">
        <v>171</v>
      </c>
      <c r="AD265">
        <v>2023</v>
      </c>
      <c r="AE265" t="s">
        <v>119</v>
      </c>
      <c r="AF265" t="b">
        <v>1</v>
      </c>
      <c r="AG265">
        <v>2712000</v>
      </c>
      <c r="AH265">
        <v>2446679.98</v>
      </c>
      <c r="AI265">
        <v>0.79330000000000001</v>
      </c>
      <c r="AJ265">
        <v>0.69940000000000002</v>
      </c>
      <c r="AK265">
        <v>24</v>
      </c>
      <c r="AL265" t="s">
        <v>77</v>
      </c>
      <c r="AM265">
        <v>4728000</v>
      </c>
      <c r="AN265">
        <v>0.1361</v>
      </c>
      <c r="AO265">
        <v>721</v>
      </c>
      <c r="AP265">
        <v>688</v>
      </c>
      <c r="AQ265" t="s">
        <v>91</v>
      </c>
      <c r="AR265" t="s">
        <v>92</v>
      </c>
      <c r="AS265">
        <v>1</v>
      </c>
      <c r="AT265">
        <v>1.7899999999999999E-2</v>
      </c>
      <c r="AU265">
        <v>0.63390000000000002</v>
      </c>
      <c r="AV265">
        <v>1742883.15</v>
      </c>
      <c r="AW265">
        <v>19776.16</v>
      </c>
      <c r="AX265" t="b">
        <v>0</v>
      </c>
      <c r="AY265" t="b">
        <v>0</v>
      </c>
      <c r="AZ265" t="s">
        <v>80</v>
      </c>
      <c r="BA265">
        <v>0</v>
      </c>
      <c r="BB265">
        <v>0</v>
      </c>
      <c r="BC265">
        <v>0</v>
      </c>
      <c r="BD265">
        <v>0</v>
      </c>
      <c r="BE265" t="s">
        <v>108</v>
      </c>
      <c r="BF265" t="b">
        <v>1</v>
      </c>
    </row>
    <row r="266" spans="1:58" x14ac:dyDescent="0.3">
      <c r="A266" t="s">
        <v>706</v>
      </c>
      <c r="B266" t="s">
        <v>67</v>
      </c>
      <c r="C266" t="s">
        <v>707</v>
      </c>
      <c r="D266" t="s">
        <v>84</v>
      </c>
      <c r="E266" t="s">
        <v>85</v>
      </c>
      <c r="F266" t="s">
        <v>124</v>
      </c>
      <c r="G266" s="1">
        <v>44218</v>
      </c>
      <c r="H266" s="1">
        <v>45596</v>
      </c>
      <c r="I266" s="1">
        <v>46738</v>
      </c>
      <c r="J266">
        <v>1200500</v>
      </c>
      <c r="K266">
        <v>84</v>
      </c>
      <c r="L266">
        <v>39</v>
      </c>
      <c r="M266">
        <v>45</v>
      </c>
      <c r="N266">
        <v>12.1</v>
      </c>
      <c r="O266">
        <v>21256.36</v>
      </c>
      <c r="P266" t="s">
        <v>72</v>
      </c>
      <c r="Q266">
        <v>574206.21</v>
      </c>
      <c r="R266">
        <v>21256.36</v>
      </c>
      <c r="S266">
        <v>3211.58</v>
      </c>
      <c r="T266" s="1">
        <v>45565</v>
      </c>
      <c r="U266" t="s">
        <v>87</v>
      </c>
      <c r="V266">
        <v>8</v>
      </c>
      <c r="W266">
        <v>45</v>
      </c>
      <c r="X266">
        <v>44</v>
      </c>
      <c r="Y266">
        <v>3</v>
      </c>
      <c r="Z266">
        <v>0</v>
      </c>
      <c r="AA266">
        <v>0</v>
      </c>
      <c r="AB266" t="s">
        <v>111</v>
      </c>
      <c r="AC266" t="s">
        <v>228</v>
      </c>
      <c r="AD266">
        <v>2021</v>
      </c>
      <c r="AE266" t="s">
        <v>119</v>
      </c>
      <c r="AF266" t="b">
        <v>1</v>
      </c>
      <c r="AG266">
        <v>1277000</v>
      </c>
      <c r="AH266">
        <v>639507.13</v>
      </c>
      <c r="AI266">
        <v>0.94010000000000005</v>
      </c>
      <c r="AJ266">
        <v>0.97750000000000004</v>
      </c>
      <c r="AK266">
        <v>62</v>
      </c>
      <c r="AL266" t="s">
        <v>132</v>
      </c>
      <c r="AM266">
        <v>2189000</v>
      </c>
      <c r="AN266">
        <v>0.11650000000000001</v>
      </c>
      <c r="AO266">
        <v>817</v>
      </c>
      <c r="AP266">
        <v>799</v>
      </c>
      <c r="AQ266" t="s">
        <v>78</v>
      </c>
      <c r="AR266" t="s">
        <v>79</v>
      </c>
      <c r="AS266">
        <v>1</v>
      </c>
      <c r="AT266">
        <v>1.84E-2</v>
      </c>
      <c r="AU266">
        <v>0.62070000000000003</v>
      </c>
      <c r="AV266">
        <v>576896.11</v>
      </c>
      <c r="AW266">
        <v>6588.66</v>
      </c>
      <c r="AX266" t="b">
        <v>0</v>
      </c>
      <c r="AY266" t="b">
        <v>0</v>
      </c>
      <c r="AZ266" t="s">
        <v>80</v>
      </c>
      <c r="BA266">
        <v>0</v>
      </c>
      <c r="BB266">
        <v>0</v>
      </c>
      <c r="BC266">
        <v>0</v>
      </c>
      <c r="BD266">
        <v>0</v>
      </c>
      <c r="BE266" t="s">
        <v>81</v>
      </c>
      <c r="BF266" t="b">
        <v>1</v>
      </c>
    </row>
    <row r="267" spans="1:58" x14ac:dyDescent="0.3">
      <c r="A267" t="s">
        <v>708</v>
      </c>
      <c r="B267" t="s">
        <v>67</v>
      </c>
      <c r="C267" t="s">
        <v>709</v>
      </c>
      <c r="D267" t="s">
        <v>69</v>
      </c>
      <c r="E267" t="s">
        <v>70</v>
      </c>
      <c r="F267" t="s">
        <v>86</v>
      </c>
      <c r="G267" s="1">
        <v>44566</v>
      </c>
      <c r="H267" s="1">
        <v>45596</v>
      </c>
      <c r="I267" s="1">
        <v>46006</v>
      </c>
      <c r="J267">
        <v>1466000</v>
      </c>
      <c r="K267">
        <v>48</v>
      </c>
      <c r="L267">
        <v>15</v>
      </c>
      <c r="M267">
        <v>33</v>
      </c>
      <c r="N267">
        <v>7.99</v>
      </c>
      <c r="O267">
        <v>35782.46</v>
      </c>
      <c r="P267" t="s">
        <v>72</v>
      </c>
      <c r="Q267">
        <v>417263.6</v>
      </c>
      <c r="R267">
        <v>35782.46</v>
      </c>
      <c r="S267">
        <v>34373.839999999997</v>
      </c>
      <c r="T267" s="1">
        <v>45575</v>
      </c>
      <c r="U267" t="s">
        <v>73</v>
      </c>
      <c r="V267">
        <v>0</v>
      </c>
      <c r="W267">
        <v>33</v>
      </c>
      <c r="X267">
        <v>33</v>
      </c>
      <c r="Y267">
        <v>0</v>
      </c>
      <c r="Z267">
        <v>0</v>
      </c>
      <c r="AA267">
        <v>0</v>
      </c>
      <c r="AB267" t="s">
        <v>88</v>
      </c>
      <c r="AC267" t="s">
        <v>89</v>
      </c>
      <c r="AD267">
        <v>2022</v>
      </c>
      <c r="AE267" t="s">
        <v>76</v>
      </c>
      <c r="AF267" t="b">
        <v>1</v>
      </c>
      <c r="AG267">
        <v>1744000</v>
      </c>
      <c r="AH267">
        <v>1127685.3999999999</v>
      </c>
      <c r="AI267">
        <v>0.84060000000000001</v>
      </c>
      <c r="AJ267">
        <v>0.39610000000000001</v>
      </c>
      <c r="AK267">
        <v>53</v>
      </c>
      <c r="AL267" t="s">
        <v>120</v>
      </c>
      <c r="AM267">
        <v>771000</v>
      </c>
      <c r="AN267">
        <v>0.55689999999999995</v>
      </c>
      <c r="AO267">
        <v>784</v>
      </c>
      <c r="AP267">
        <v>751</v>
      </c>
      <c r="AQ267" t="s">
        <v>145</v>
      </c>
      <c r="AR267" t="s">
        <v>203</v>
      </c>
      <c r="AS267">
        <v>1</v>
      </c>
      <c r="AT267">
        <v>1.5699999999999999E-2</v>
      </c>
      <c r="AU267">
        <v>0.53820000000000001</v>
      </c>
      <c r="AV267">
        <v>417545.19</v>
      </c>
      <c r="AW267">
        <v>3528.15</v>
      </c>
      <c r="AX267" t="b">
        <v>0</v>
      </c>
      <c r="AY267" t="b">
        <v>0</v>
      </c>
      <c r="AZ267" t="s">
        <v>80</v>
      </c>
      <c r="BA267">
        <v>0</v>
      </c>
      <c r="BB267">
        <v>0</v>
      </c>
      <c r="BC267">
        <v>0</v>
      </c>
      <c r="BD267">
        <v>0</v>
      </c>
      <c r="BE267" t="s">
        <v>108</v>
      </c>
      <c r="BF267" t="b">
        <v>0</v>
      </c>
    </row>
    <row r="268" spans="1:58" x14ac:dyDescent="0.3">
      <c r="A268" t="s">
        <v>710</v>
      </c>
      <c r="B268" t="s">
        <v>67</v>
      </c>
      <c r="C268" t="s">
        <v>711</v>
      </c>
      <c r="D268" t="s">
        <v>95</v>
      </c>
      <c r="E268" t="s">
        <v>96</v>
      </c>
      <c r="F268" t="s">
        <v>71</v>
      </c>
      <c r="G268" s="1">
        <v>44371</v>
      </c>
      <c r="H268" s="1">
        <v>45596</v>
      </c>
      <c r="I268" s="1">
        <v>46171</v>
      </c>
      <c r="J268">
        <v>1489300</v>
      </c>
      <c r="K268">
        <v>60</v>
      </c>
      <c r="L268">
        <v>20</v>
      </c>
      <c r="M268">
        <v>40</v>
      </c>
      <c r="N268">
        <v>9.82</v>
      </c>
      <c r="O268">
        <v>31511.48</v>
      </c>
      <c r="P268" t="s">
        <v>72</v>
      </c>
      <c r="Q268">
        <v>458295.83</v>
      </c>
      <c r="R268">
        <v>31511.48</v>
      </c>
      <c r="S268">
        <v>32528.62</v>
      </c>
      <c r="T268" s="1">
        <v>45589</v>
      </c>
      <c r="U268" t="s">
        <v>73</v>
      </c>
      <c r="V268">
        <v>0</v>
      </c>
      <c r="W268">
        <v>40</v>
      </c>
      <c r="X268">
        <v>40</v>
      </c>
      <c r="Y268">
        <v>0</v>
      </c>
      <c r="Z268">
        <v>0</v>
      </c>
      <c r="AA268">
        <v>0</v>
      </c>
      <c r="AB268" t="s">
        <v>125</v>
      </c>
      <c r="AC268" t="s">
        <v>191</v>
      </c>
      <c r="AD268">
        <v>2021</v>
      </c>
      <c r="AE268" t="s">
        <v>90</v>
      </c>
      <c r="AF268" t="b">
        <v>1</v>
      </c>
      <c r="AG268">
        <v>1682000</v>
      </c>
      <c r="AH268">
        <v>873209.19</v>
      </c>
      <c r="AI268">
        <v>0.88539999999999996</v>
      </c>
      <c r="AJ268">
        <v>0.52400000000000002</v>
      </c>
      <c r="AK268">
        <v>59</v>
      </c>
      <c r="AL268" t="s">
        <v>106</v>
      </c>
      <c r="AM268">
        <v>1142000</v>
      </c>
      <c r="AN268">
        <v>0.33110000000000001</v>
      </c>
      <c r="AO268">
        <v>661</v>
      </c>
      <c r="AP268">
        <v>624</v>
      </c>
      <c r="AQ268" t="s">
        <v>78</v>
      </c>
      <c r="AR268" t="s">
        <v>133</v>
      </c>
      <c r="AS268">
        <v>1</v>
      </c>
      <c r="AT268">
        <v>1.8200000000000001E-2</v>
      </c>
      <c r="AU268">
        <v>0.43609999999999999</v>
      </c>
      <c r="AV268">
        <v>479416.19</v>
      </c>
      <c r="AW268">
        <v>3805.14</v>
      </c>
      <c r="AX268" t="b">
        <v>0</v>
      </c>
      <c r="AY268" t="b">
        <v>0</v>
      </c>
      <c r="AZ268" t="s">
        <v>80</v>
      </c>
      <c r="BA268">
        <v>0</v>
      </c>
      <c r="BB268">
        <v>0</v>
      </c>
      <c r="BC268">
        <v>0</v>
      </c>
      <c r="BD268">
        <v>0</v>
      </c>
      <c r="BE268" t="s">
        <v>108</v>
      </c>
      <c r="BF268" t="b">
        <v>1</v>
      </c>
    </row>
    <row r="269" spans="1:58" x14ac:dyDescent="0.3">
      <c r="A269" t="s">
        <v>712</v>
      </c>
      <c r="B269" t="s">
        <v>67</v>
      </c>
      <c r="C269" t="s">
        <v>713</v>
      </c>
      <c r="D269" t="s">
        <v>95</v>
      </c>
      <c r="E269" t="s">
        <v>96</v>
      </c>
      <c r="F269" t="s">
        <v>124</v>
      </c>
      <c r="G269" s="1">
        <v>44422</v>
      </c>
      <c r="H269" s="1">
        <v>45596</v>
      </c>
      <c r="I269" s="1">
        <v>45502</v>
      </c>
      <c r="J269">
        <v>1439300</v>
      </c>
      <c r="K269">
        <v>36</v>
      </c>
      <c r="L269">
        <v>0</v>
      </c>
      <c r="M269">
        <v>38</v>
      </c>
      <c r="N269">
        <v>10.02</v>
      </c>
      <c r="O269">
        <v>46455.68</v>
      </c>
      <c r="P269" t="s">
        <v>72</v>
      </c>
      <c r="Q269">
        <v>0</v>
      </c>
      <c r="R269">
        <v>46455.68</v>
      </c>
      <c r="S269">
        <v>48136.05</v>
      </c>
      <c r="T269" s="1">
        <v>45587</v>
      </c>
      <c r="U269" t="s">
        <v>73</v>
      </c>
      <c r="V269">
        <v>0</v>
      </c>
      <c r="W269">
        <v>38</v>
      </c>
      <c r="X269">
        <v>38</v>
      </c>
      <c r="Y269">
        <v>0</v>
      </c>
      <c r="Z269">
        <v>0</v>
      </c>
      <c r="AA269">
        <v>0</v>
      </c>
      <c r="AB269" t="s">
        <v>125</v>
      </c>
      <c r="AC269" t="s">
        <v>126</v>
      </c>
      <c r="AD269">
        <v>2021</v>
      </c>
      <c r="AE269" t="s">
        <v>119</v>
      </c>
      <c r="AF269" t="b">
        <v>1</v>
      </c>
      <c r="AG269">
        <v>1765000</v>
      </c>
      <c r="AH269">
        <v>1013503.42</v>
      </c>
      <c r="AI269">
        <v>0.8155</v>
      </c>
      <c r="AJ269">
        <v>0</v>
      </c>
      <c r="AK269">
        <v>27</v>
      </c>
      <c r="AL269" t="s">
        <v>77</v>
      </c>
      <c r="AM269">
        <v>1137000</v>
      </c>
      <c r="AN269">
        <v>0.49030000000000001</v>
      </c>
      <c r="AO269">
        <v>785</v>
      </c>
      <c r="AP269">
        <v>777</v>
      </c>
      <c r="AQ269" t="s">
        <v>78</v>
      </c>
      <c r="AR269" t="s">
        <v>79</v>
      </c>
      <c r="AS269">
        <v>1</v>
      </c>
      <c r="AT269">
        <v>2.1899999999999999E-2</v>
      </c>
      <c r="AU269">
        <v>0.62990000000000002</v>
      </c>
      <c r="AV269">
        <v>0</v>
      </c>
      <c r="AW269">
        <v>0</v>
      </c>
      <c r="AX269" t="b">
        <v>0</v>
      </c>
      <c r="AY269" t="b">
        <v>0</v>
      </c>
      <c r="AZ269" t="s">
        <v>80</v>
      </c>
      <c r="BA269">
        <v>0</v>
      </c>
      <c r="BB269">
        <v>0</v>
      </c>
      <c r="BC269">
        <v>0</v>
      </c>
      <c r="BD269">
        <v>0</v>
      </c>
      <c r="BE269" t="s">
        <v>81</v>
      </c>
      <c r="BF269" t="b">
        <v>1</v>
      </c>
    </row>
    <row r="270" spans="1:58" x14ac:dyDescent="0.3">
      <c r="A270" t="s">
        <v>714</v>
      </c>
      <c r="B270" t="s">
        <v>67</v>
      </c>
      <c r="C270" t="s">
        <v>715</v>
      </c>
      <c r="D270" t="s">
        <v>84</v>
      </c>
      <c r="E270" t="s">
        <v>85</v>
      </c>
      <c r="F270" t="s">
        <v>71</v>
      </c>
      <c r="G270" s="1">
        <v>44497</v>
      </c>
      <c r="H270" s="1">
        <v>45596</v>
      </c>
      <c r="I270" s="1">
        <v>46657</v>
      </c>
      <c r="J270">
        <v>1918800</v>
      </c>
      <c r="K270">
        <v>72</v>
      </c>
      <c r="L270">
        <v>36</v>
      </c>
      <c r="M270">
        <v>36</v>
      </c>
      <c r="N270">
        <v>14.22</v>
      </c>
      <c r="O270">
        <v>39764.69</v>
      </c>
      <c r="P270" t="s">
        <v>72</v>
      </c>
      <c r="Q270">
        <v>903535.5</v>
      </c>
      <c r="R270">
        <v>39764.69</v>
      </c>
      <c r="S270">
        <v>39305.910000000003</v>
      </c>
      <c r="T270" s="1">
        <v>45570</v>
      </c>
      <c r="U270" t="s">
        <v>73</v>
      </c>
      <c r="V270">
        <v>0</v>
      </c>
      <c r="W270">
        <v>36</v>
      </c>
      <c r="X270">
        <v>36</v>
      </c>
      <c r="Y270">
        <v>0</v>
      </c>
      <c r="Z270">
        <v>0</v>
      </c>
      <c r="AA270">
        <v>0</v>
      </c>
      <c r="AB270" t="s">
        <v>111</v>
      </c>
      <c r="AC270" t="s">
        <v>228</v>
      </c>
      <c r="AD270">
        <v>2021</v>
      </c>
      <c r="AE270" t="s">
        <v>166</v>
      </c>
      <c r="AF270" t="b">
        <v>1</v>
      </c>
      <c r="AG270">
        <v>3000000</v>
      </c>
      <c r="AH270">
        <v>1713183.18</v>
      </c>
      <c r="AI270">
        <v>0.63959999999999995</v>
      </c>
      <c r="AJ270">
        <v>0.5302</v>
      </c>
      <c r="AK270">
        <v>45</v>
      </c>
      <c r="AL270" t="s">
        <v>77</v>
      </c>
      <c r="AM270">
        <v>1155000</v>
      </c>
      <c r="AN270">
        <v>0.41310000000000002</v>
      </c>
      <c r="AO270">
        <v>748</v>
      </c>
      <c r="AP270">
        <v>743</v>
      </c>
      <c r="AQ270" t="s">
        <v>91</v>
      </c>
      <c r="AR270" t="s">
        <v>192</v>
      </c>
      <c r="AS270">
        <v>1</v>
      </c>
      <c r="AT270">
        <v>1.8599999999999998E-2</v>
      </c>
      <c r="AU270">
        <v>0.51480000000000004</v>
      </c>
      <c r="AV270">
        <v>927874.36</v>
      </c>
      <c r="AW270">
        <v>8884.66</v>
      </c>
      <c r="AX270" t="b">
        <v>0</v>
      </c>
      <c r="AY270" t="b">
        <v>0</v>
      </c>
      <c r="AZ270" t="s">
        <v>80</v>
      </c>
      <c r="BA270">
        <v>0</v>
      </c>
      <c r="BB270">
        <v>0</v>
      </c>
      <c r="BC270">
        <v>0</v>
      </c>
      <c r="BD270">
        <v>0</v>
      </c>
      <c r="BE270" t="s">
        <v>81</v>
      </c>
      <c r="BF270" t="b">
        <v>1</v>
      </c>
    </row>
    <row r="271" spans="1:58" x14ac:dyDescent="0.3">
      <c r="A271" t="s">
        <v>716</v>
      </c>
      <c r="B271" t="s">
        <v>67</v>
      </c>
      <c r="C271" t="s">
        <v>717</v>
      </c>
      <c r="D271" t="s">
        <v>69</v>
      </c>
      <c r="E271" t="s">
        <v>70</v>
      </c>
      <c r="F271" t="s">
        <v>71</v>
      </c>
      <c r="G271" s="1">
        <v>44646</v>
      </c>
      <c r="H271" s="1">
        <v>45596</v>
      </c>
      <c r="I271" s="1">
        <v>47166</v>
      </c>
      <c r="J271">
        <v>1206600</v>
      </c>
      <c r="K271">
        <v>84</v>
      </c>
      <c r="L271">
        <v>53</v>
      </c>
      <c r="M271">
        <v>31</v>
      </c>
      <c r="N271">
        <v>10.82</v>
      </c>
      <c r="O271">
        <v>20545.91</v>
      </c>
      <c r="P271" t="s">
        <v>72</v>
      </c>
      <c r="Q271">
        <v>700432.19</v>
      </c>
      <c r="R271">
        <v>20545.91</v>
      </c>
      <c r="S271">
        <v>20282.27</v>
      </c>
      <c r="T271" s="1">
        <v>45590</v>
      </c>
      <c r="U271" t="s">
        <v>73</v>
      </c>
      <c r="V271">
        <v>0</v>
      </c>
      <c r="W271">
        <v>31</v>
      </c>
      <c r="X271">
        <v>31</v>
      </c>
      <c r="Y271">
        <v>0</v>
      </c>
      <c r="Z271">
        <v>0</v>
      </c>
      <c r="AA271">
        <v>0</v>
      </c>
      <c r="AB271" t="s">
        <v>74</v>
      </c>
      <c r="AC271" t="s">
        <v>420</v>
      </c>
      <c r="AD271">
        <v>2022</v>
      </c>
      <c r="AE271" t="s">
        <v>76</v>
      </c>
      <c r="AF271" t="b">
        <v>1</v>
      </c>
      <c r="AG271">
        <v>1991000</v>
      </c>
      <c r="AH271">
        <v>1291046.1599999999</v>
      </c>
      <c r="AI271">
        <v>0.60599999999999998</v>
      </c>
      <c r="AJ271">
        <v>0.56020000000000003</v>
      </c>
      <c r="AK271">
        <v>27</v>
      </c>
      <c r="AL271" t="s">
        <v>106</v>
      </c>
      <c r="AM271">
        <v>4337000</v>
      </c>
      <c r="AN271">
        <v>5.6800000000000003E-2</v>
      </c>
      <c r="AO271">
        <v>849</v>
      </c>
      <c r="AP271">
        <v>816</v>
      </c>
      <c r="AQ271" t="s">
        <v>91</v>
      </c>
      <c r="AR271" t="s">
        <v>192</v>
      </c>
      <c r="AS271">
        <v>1</v>
      </c>
      <c r="AT271">
        <v>1.54E-2</v>
      </c>
      <c r="AU271">
        <v>0.55869999999999997</v>
      </c>
      <c r="AV271">
        <v>705442.96</v>
      </c>
      <c r="AW271">
        <v>6069.62</v>
      </c>
      <c r="AX271" t="b">
        <v>0</v>
      </c>
      <c r="AY271" t="b">
        <v>0</v>
      </c>
      <c r="AZ271" t="s">
        <v>80</v>
      </c>
      <c r="BA271">
        <v>0</v>
      </c>
      <c r="BB271">
        <v>0</v>
      </c>
      <c r="BC271">
        <v>0</v>
      </c>
      <c r="BD271">
        <v>0</v>
      </c>
      <c r="BE271" t="s">
        <v>134</v>
      </c>
      <c r="BF271" t="b">
        <v>1</v>
      </c>
    </row>
    <row r="272" spans="1:58" x14ac:dyDescent="0.3">
      <c r="A272" t="s">
        <v>718</v>
      </c>
      <c r="B272" t="s">
        <v>67</v>
      </c>
      <c r="C272" t="s">
        <v>719</v>
      </c>
      <c r="D272" t="s">
        <v>69</v>
      </c>
      <c r="E272" t="s">
        <v>70</v>
      </c>
      <c r="F272" t="s">
        <v>115</v>
      </c>
      <c r="G272" s="1">
        <v>44348</v>
      </c>
      <c r="H272" s="1">
        <v>45596</v>
      </c>
      <c r="I272" s="1">
        <v>45788</v>
      </c>
      <c r="J272">
        <v>308500</v>
      </c>
      <c r="K272">
        <v>48</v>
      </c>
      <c r="L272">
        <v>8</v>
      </c>
      <c r="M272">
        <v>40</v>
      </c>
      <c r="N272">
        <v>8.0399999999999991</v>
      </c>
      <c r="O272">
        <v>7537.18</v>
      </c>
      <c r="P272" t="s">
        <v>72</v>
      </c>
      <c r="Q272">
        <v>50664.83</v>
      </c>
      <c r="R272">
        <v>7537.18</v>
      </c>
      <c r="S272">
        <v>7578</v>
      </c>
      <c r="T272" s="1">
        <v>45580</v>
      </c>
      <c r="U272" t="s">
        <v>73</v>
      </c>
      <c r="V272">
        <v>0</v>
      </c>
      <c r="W272">
        <v>40</v>
      </c>
      <c r="X272">
        <v>40</v>
      </c>
      <c r="Y272">
        <v>0</v>
      </c>
      <c r="Z272">
        <v>0</v>
      </c>
      <c r="AA272">
        <v>0</v>
      </c>
      <c r="AB272" t="s">
        <v>164</v>
      </c>
      <c r="AC272" t="s">
        <v>426</v>
      </c>
      <c r="AD272">
        <v>2021</v>
      </c>
      <c r="AE272" t="s">
        <v>99</v>
      </c>
      <c r="AF272" t="b">
        <v>1</v>
      </c>
      <c r="AG272">
        <v>475000</v>
      </c>
      <c r="AH272">
        <v>267706.02</v>
      </c>
      <c r="AI272">
        <v>0.64939999999999998</v>
      </c>
      <c r="AJ272">
        <v>0.2051</v>
      </c>
      <c r="AK272">
        <v>51</v>
      </c>
      <c r="AL272" t="s">
        <v>77</v>
      </c>
      <c r="AM272">
        <v>3897000</v>
      </c>
      <c r="AN272">
        <v>2.3199999999999998E-2</v>
      </c>
      <c r="AO272">
        <v>770</v>
      </c>
      <c r="AP272">
        <v>737</v>
      </c>
      <c r="AQ272" t="s">
        <v>78</v>
      </c>
      <c r="AR272" t="s">
        <v>133</v>
      </c>
      <c r="AS272">
        <v>1</v>
      </c>
      <c r="AT272">
        <v>2.1299999999999999E-2</v>
      </c>
      <c r="AU272">
        <v>0.40210000000000001</v>
      </c>
      <c r="AV272">
        <v>51071.03</v>
      </c>
      <c r="AW272">
        <v>437.41</v>
      </c>
      <c r="AX272" t="b">
        <v>0</v>
      </c>
      <c r="AY272" t="b">
        <v>0</v>
      </c>
      <c r="AZ272" t="s">
        <v>80</v>
      </c>
      <c r="BA272">
        <v>0</v>
      </c>
      <c r="BB272">
        <v>0</v>
      </c>
      <c r="BC272">
        <v>0</v>
      </c>
      <c r="BD272">
        <v>0</v>
      </c>
      <c r="BE272" t="s">
        <v>134</v>
      </c>
      <c r="BF272" t="b">
        <v>1</v>
      </c>
    </row>
    <row r="273" spans="1:58" x14ac:dyDescent="0.3">
      <c r="A273" t="s">
        <v>720</v>
      </c>
      <c r="B273" t="s">
        <v>67</v>
      </c>
      <c r="C273" t="s">
        <v>721</v>
      </c>
      <c r="D273" t="s">
        <v>95</v>
      </c>
      <c r="E273" t="s">
        <v>96</v>
      </c>
      <c r="F273" t="s">
        <v>124</v>
      </c>
      <c r="G273" s="1">
        <v>45224</v>
      </c>
      <c r="H273" s="1">
        <v>45596</v>
      </c>
      <c r="I273" s="1">
        <v>47384</v>
      </c>
      <c r="J273">
        <v>620200</v>
      </c>
      <c r="K273">
        <v>72</v>
      </c>
      <c r="L273">
        <v>60</v>
      </c>
      <c r="M273">
        <v>12</v>
      </c>
      <c r="N273">
        <v>14.35</v>
      </c>
      <c r="O273">
        <v>12896.2</v>
      </c>
      <c r="P273" t="s">
        <v>72</v>
      </c>
      <c r="Q273">
        <v>474850.96</v>
      </c>
      <c r="R273">
        <v>12896.2</v>
      </c>
      <c r="S273">
        <v>289.38</v>
      </c>
      <c r="T273" s="1">
        <v>45578</v>
      </c>
      <c r="U273" t="s">
        <v>87</v>
      </c>
      <c r="V273">
        <v>15</v>
      </c>
      <c r="W273">
        <v>12</v>
      </c>
      <c r="X273">
        <v>11</v>
      </c>
      <c r="Y273">
        <v>1</v>
      </c>
      <c r="Z273">
        <v>0</v>
      </c>
      <c r="AA273">
        <v>0</v>
      </c>
      <c r="AB273" t="s">
        <v>88</v>
      </c>
      <c r="AC273" t="s">
        <v>181</v>
      </c>
      <c r="AD273">
        <v>2023</v>
      </c>
      <c r="AE273" t="s">
        <v>76</v>
      </c>
      <c r="AF273" t="b">
        <v>1</v>
      </c>
      <c r="AG273">
        <v>981000</v>
      </c>
      <c r="AH273">
        <v>783097.55</v>
      </c>
      <c r="AI273">
        <v>0.63219999999999998</v>
      </c>
      <c r="AJ273">
        <v>0.5655</v>
      </c>
      <c r="AK273">
        <v>48</v>
      </c>
      <c r="AL273" t="s">
        <v>132</v>
      </c>
      <c r="AM273">
        <v>878000</v>
      </c>
      <c r="AN273">
        <v>0.17630000000000001</v>
      </c>
      <c r="AO273">
        <v>840</v>
      </c>
      <c r="AP273">
        <v>861</v>
      </c>
      <c r="AQ273" t="s">
        <v>78</v>
      </c>
      <c r="AR273" t="s">
        <v>79</v>
      </c>
      <c r="AS273">
        <v>1</v>
      </c>
      <c r="AT273">
        <v>1.6299999999999999E-2</v>
      </c>
      <c r="AU273">
        <v>0.38250000000000001</v>
      </c>
      <c r="AV273">
        <v>476698.33</v>
      </c>
      <c r="AW273">
        <v>2972.09</v>
      </c>
      <c r="AX273" t="b">
        <v>0</v>
      </c>
      <c r="AY273" t="b">
        <v>0</v>
      </c>
      <c r="AZ273" t="s">
        <v>80</v>
      </c>
      <c r="BA273">
        <v>0</v>
      </c>
      <c r="BB273">
        <v>0</v>
      </c>
      <c r="BC273">
        <v>0</v>
      </c>
      <c r="BD273">
        <v>0</v>
      </c>
      <c r="BE273" t="s">
        <v>108</v>
      </c>
      <c r="BF273" t="b">
        <v>0</v>
      </c>
    </row>
    <row r="274" spans="1:58" x14ac:dyDescent="0.3">
      <c r="A274" t="s">
        <v>722</v>
      </c>
      <c r="B274" t="s">
        <v>67</v>
      </c>
      <c r="C274" t="s">
        <v>723</v>
      </c>
      <c r="D274" t="s">
        <v>69</v>
      </c>
      <c r="E274" t="s">
        <v>70</v>
      </c>
      <c r="F274" t="s">
        <v>115</v>
      </c>
      <c r="G274" s="1">
        <v>44415</v>
      </c>
      <c r="H274" s="1">
        <v>45596</v>
      </c>
      <c r="I274" s="1">
        <v>45495</v>
      </c>
      <c r="J274">
        <v>876500</v>
      </c>
      <c r="K274">
        <v>36</v>
      </c>
      <c r="L274">
        <v>0</v>
      </c>
      <c r="M274">
        <v>38</v>
      </c>
      <c r="N274">
        <v>9.18</v>
      </c>
      <c r="O274">
        <v>27945.95</v>
      </c>
      <c r="P274" t="s">
        <v>72</v>
      </c>
      <c r="Q274">
        <v>0</v>
      </c>
      <c r="R274">
        <v>27945.95</v>
      </c>
      <c r="S274">
        <v>529.53</v>
      </c>
      <c r="T274" s="1">
        <v>45572</v>
      </c>
      <c r="U274" t="s">
        <v>163</v>
      </c>
      <c r="V274">
        <v>99</v>
      </c>
      <c r="W274">
        <v>38</v>
      </c>
      <c r="X274">
        <v>35</v>
      </c>
      <c r="Y274">
        <v>2</v>
      </c>
      <c r="Z274">
        <v>1</v>
      </c>
      <c r="AA274">
        <v>2</v>
      </c>
      <c r="AB274" t="s">
        <v>74</v>
      </c>
      <c r="AC274" t="s">
        <v>420</v>
      </c>
      <c r="AD274">
        <v>2021</v>
      </c>
      <c r="AE274" t="s">
        <v>119</v>
      </c>
      <c r="AF274" t="b">
        <v>1</v>
      </c>
      <c r="AG274">
        <v>1307000</v>
      </c>
      <c r="AH274">
        <v>707730.68</v>
      </c>
      <c r="AI274">
        <v>0.67059999999999997</v>
      </c>
      <c r="AJ274">
        <v>0</v>
      </c>
      <c r="AK274">
        <v>61</v>
      </c>
      <c r="AL274" t="s">
        <v>132</v>
      </c>
      <c r="AM274">
        <v>2455000</v>
      </c>
      <c r="AN274">
        <v>0.1366</v>
      </c>
      <c r="AO274">
        <v>661</v>
      </c>
      <c r="AP274">
        <v>617</v>
      </c>
      <c r="AQ274" t="s">
        <v>91</v>
      </c>
      <c r="AR274" t="s">
        <v>92</v>
      </c>
      <c r="AS274">
        <v>3</v>
      </c>
      <c r="AT274">
        <v>0.76400000000000001</v>
      </c>
      <c r="AU274">
        <v>0.61899999999999999</v>
      </c>
      <c r="AV274">
        <v>0</v>
      </c>
      <c r="AW274">
        <v>0</v>
      </c>
      <c r="AX274" t="b">
        <v>0</v>
      </c>
      <c r="AY274" t="b">
        <v>0</v>
      </c>
      <c r="AZ274" t="s">
        <v>80</v>
      </c>
      <c r="BA274">
        <v>0</v>
      </c>
      <c r="BB274">
        <v>0</v>
      </c>
      <c r="BC274">
        <v>0</v>
      </c>
      <c r="BD274">
        <v>0</v>
      </c>
      <c r="BE274" t="s">
        <v>108</v>
      </c>
      <c r="BF274" t="b">
        <v>0</v>
      </c>
    </row>
    <row r="275" spans="1:58" x14ac:dyDescent="0.3">
      <c r="A275" t="s">
        <v>724</v>
      </c>
      <c r="B275" t="s">
        <v>67</v>
      </c>
      <c r="C275" t="s">
        <v>725</v>
      </c>
      <c r="D275" t="s">
        <v>84</v>
      </c>
      <c r="E275" t="s">
        <v>85</v>
      </c>
      <c r="F275" t="s">
        <v>124</v>
      </c>
      <c r="G275" s="1">
        <v>44273</v>
      </c>
      <c r="H275" s="1">
        <v>45596</v>
      </c>
      <c r="I275" s="1">
        <v>45713</v>
      </c>
      <c r="J275">
        <v>829700</v>
      </c>
      <c r="K275">
        <v>48</v>
      </c>
      <c r="L275">
        <v>5</v>
      </c>
      <c r="M275">
        <v>43</v>
      </c>
      <c r="N275">
        <v>13.69</v>
      </c>
      <c r="O275">
        <v>22543.97</v>
      </c>
      <c r="P275" t="s">
        <v>72</v>
      </c>
      <c r="Q275">
        <v>88252.54</v>
      </c>
      <c r="R275">
        <v>22543.97</v>
      </c>
      <c r="S275">
        <v>21636.36</v>
      </c>
      <c r="T275" s="1">
        <v>45596</v>
      </c>
      <c r="U275" t="s">
        <v>73</v>
      </c>
      <c r="V275">
        <v>0</v>
      </c>
      <c r="W275">
        <v>43</v>
      </c>
      <c r="X275">
        <v>43</v>
      </c>
      <c r="Y275">
        <v>0</v>
      </c>
      <c r="Z275">
        <v>0</v>
      </c>
      <c r="AA275">
        <v>0</v>
      </c>
      <c r="AB275" t="s">
        <v>88</v>
      </c>
      <c r="AC275" t="s">
        <v>89</v>
      </c>
      <c r="AD275">
        <v>2021</v>
      </c>
      <c r="AE275" t="s">
        <v>166</v>
      </c>
      <c r="AF275" t="b">
        <v>1</v>
      </c>
      <c r="AG275">
        <v>1013000</v>
      </c>
      <c r="AH275">
        <v>455248.14</v>
      </c>
      <c r="AI275">
        <v>0.81910000000000005</v>
      </c>
      <c r="AJ275">
        <v>0.18</v>
      </c>
      <c r="AK275">
        <v>34</v>
      </c>
      <c r="AL275" t="s">
        <v>77</v>
      </c>
      <c r="AM275">
        <v>4969000</v>
      </c>
      <c r="AN275">
        <v>5.4399999999999997E-2</v>
      </c>
      <c r="AO275">
        <v>778</v>
      </c>
      <c r="AP275">
        <v>794</v>
      </c>
      <c r="AQ275" t="s">
        <v>78</v>
      </c>
      <c r="AR275" t="s">
        <v>133</v>
      </c>
      <c r="AS275">
        <v>1</v>
      </c>
      <c r="AT275">
        <v>1.6899999999999998E-2</v>
      </c>
      <c r="AU275">
        <v>0.64910000000000001</v>
      </c>
      <c r="AV275">
        <v>90930.46</v>
      </c>
      <c r="AW275">
        <v>997.49</v>
      </c>
      <c r="AX275" t="b">
        <v>0</v>
      </c>
      <c r="AY275" t="b">
        <v>0</v>
      </c>
      <c r="AZ275" t="s">
        <v>80</v>
      </c>
      <c r="BA275">
        <v>0</v>
      </c>
      <c r="BB275">
        <v>0</v>
      </c>
      <c r="BC275">
        <v>0</v>
      </c>
      <c r="BD275">
        <v>0</v>
      </c>
      <c r="BE275" t="s">
        <v>134</v>
      </c>
      <c r="BF275" t="b">
        <v>1</v>
      </c>
    </row>
    <row r="276" spans="1:58" x14ac:dyDescent="0.3">
      <c r="A276" t="s">
        <v>726</v>
      </c>
      <c r="B276" t="s">
        <v>67</v>
      </c>
      <c r="C276" t="s">
        <v>727</v>
      </c>
      <c r="D276" t="s">
        <v>84</v>
      </c>
      <c r="E276" t="s">
        <v>85</v>
      </c>
      <c r="F276" t="s">
        <v>71</v>
      </c>
      <c r="G276" s="1">
        <v>44830</v>
      </c>
      <c r="H276" s="1">
        <v>45596</v>
      </c>
      <c r="I276" s="1">
        <v>46270</v>
      </c>
      <c r="J276">
        <v>1526600</v>
      </c>
      <c r="K276">
        <v>48</v>
      </c>
      <c r="L276">
        <v>23</v>
      </c>
      <c r="M276">
        <v>25</v>
      </c>
      <c r="N276">
        <v>7.98</v>
      </c>
      <c r="O276">
        <v>37254.44</v>
      </c>
      <c r="P276" t="s">
        <v>72</v>
      </c>
      <c r="Q276">
        <v>721603.63</v>
      </c>
      <c r="R276">
        <v>37254.44</v>
      </c>
      <c r="S276">
        <v>37276.58</v>
      </c>
      <c r="T276" s="1">
        <v>45580</v>
      </c>
      <c r="U276" t="s">
        <v>73</v>
      </c>
      <c r="V276">
        <v>0</v>
      </c>
      <c r="W276">
        <v>25</v>
      </c>
      <c r="X276">
        <v>25</v>
      </c>
      <c r="Y276">
        <v>0</v>
      </c>
      <c r="Z276">
        <v>0</v>
      </c>
      <c r="AA276">
        <v>0</v>
      </c>
      <c r="AB276" t="s">
        <v>97</v>
      </c>
      <c r="AC276" t="s">
        <v>98</v>
      </c>
      <c r="AD276">
        <v>2022</v>
      </c>
      <c r="AE276" t="s">
        <v>166</v>
      </c>
      <c r="AF276" t="b">
        <v>1</v>
      </c>
      <c r="AG276">
        <v>1647000</v>
      </c>
      <c r="AH276">
        <v>1239922.8799999999</v>
      </c>
      <c r="AI276">
        <v>0.92689999999999995</v>
      </c>
      <c r="AJ276">
        <v>0.62590000000000001</v>
      </c>
      <c r="AK276">
        <v>29</v>
      </c>
      <c r="AL276" t="s">
        <v>132</v>
      </c>
      <c r="AM276">
        <v>2407000</v>
      </c>
      <c r="AN276">
        <v>0.1857</v>
      </c>
      <c r="AO276">
        <v>716</v>
      </c>
      <c r="AP276">
        <v>726</v>
      </c>
      <c r="AQ276" t="s">
        <v>91</v>
      </c>
      <c r="AR276" t="s">
        <v>192</v>
      </c>
      <c r="AS276">
        <v>1</v>
      </c>
      <c r="AT276">
        <v>1.9300000000000001E-2</v>
      </c>
      <c r="AU276">
        <v>0.50370000000000004</v>
      </c>
      <c r="AV276">
        <v>744140.46</v>
      </c>
      <c r="AW276">
        <v>7234.09</v>
      </c>
      <c r="AX276" t="b">
        <v>0</v>
      </c>
      <c r="AY276" t="b">
        <v>0</v>
      </c>
      <c r="AZ276" t="s">
        <v>80</v>
      </c>
      <c r="BA276">
        <v>0</v>
      </c>
      <c r="BB276">
        <v>0</v>
      </c>
      <c r="BC276">
        <v>0</v>
      </c>
      <c r="BD276">
        <v>0</v>
      </c>
      <c r="BE276" t="s">
        <v>134</v>
      </c>
      <c r="BF276" t="b">
        <v>1</v>
      </c>
    </row>
    <row r="277" spans="1:58" x14ac:dyDescent="0.3">
      <c r="A277" t="s">
        <v>728</v>
      </c>
      <c r="B277" t="s">
        <v>67</v>
      </c>
      <c r="C277" t="s">
        <v>729</v>
      </c>
      <c r="D277" t="s">
        <v>84</v>
      </c>
      <c r="E277" t="s">
        <v>85</v>
      </c>
      <c r="F277" t="s">
        <v>115</v>
      </c>
      <c r="G277" s="1">
        <v>44284</v>
      </c>
      <c r="H277" s="1">
        <v>45596</v>
      </c>
      <c r="I277" s="1">
        <v>45724</v>
      </c>
      <c r="J277">
        <v>1258100</v>
      </c>
      <c r="K277">
        <v>48</v>
      </c>
      <c r="L277">
        <v>5</v>
      </c>
      <c r="M277">
        <v>43</v>
      </c>
      <c r="N277">
        <v>13.47</v>
      </c>
      <c r="O277">
        <v>34045.89</v>
      </c>
      <c r="P277" t="s">
        <v>72</v>
      </c>
      <c r="Q277">
        <v>123660.63</v>
      </c>
      <c r="R277">
        <v>34045.89</v>
      </c>
      <c r="S277">
        <v>33509.410000000003</v>
      </c>
      <c r="T277" s="1">
        <v>45565</v>
      </c>
      <c r="U277" t="s">
        <v>73</v>
      </c>
      <c r="V277">
        <v>0</v>
      </c>
      <c r="W277">
        <v>43</v>
      </c>
      <c r="X277">
        <v>43</v>
      </c>
      <c r="Y277">
        <v>0</v>
      </c>
      <c r="Z277">
        <v>0</v>
      </c>
      <c r="AA277">
        <v>0</v>
      </c>
      <c r="AB277" t="s">
        <v>104</v>
      </c>
      <c r="AC277" t="s">
        <v>105</v>
      </c>
      <c r="AD277">
        <v>2021</v>
      </c>
      <c r="AE277" t="s">
        <v>76</v>
      </c>
      <c r="AF277" t="b">
        <v>1</v>
      </c>
      <c r="AG277">
        <v>1580000</v>
      </c>
      <c r="AH277">
        <v>720769.28</v>
      </c>
      <c r="AI277">
        <v>0.79630000000000001</v>
      </c>
      <c r="AJ277">
        <v>0.16170000000000001</v>
      </c>
      <c r="AK277">
        <v>61</v>
      </c>
      <c r="AL277" t="s">
        <v>120</v>
      </c>
      <c r="AM277">
        <v>4313000</v>
      </c>
      <c r="AN277">
        <v>9.4700000000000006E-2</v>
      </c>
      <c r="AO277">
        <v>707</v>
      </c>
      <c r="AP277">
        <v>706</v>
      </c>
      <c r="AQ277" t="s">
        <v>127</v>
      </c>
      <c r="AR277" t="s">
        <v>128</v>
      </c>
      <c r="AS277">
        <v>1</v>
      </c>
      <c r="AT277">
        <v>2.5000000000000001E-2</v>
      </c>
      <c r="AU277">
        <v>0.62670000000000003</v>
      </c>
      <c r="AV277">
        <v>128410.54</v>
      </c>
      <c r="AW277">
        <v>2011.87</v>
      </c>
      <c r="AX277" t="b">
        <v>0</v>
      </c>
      <c r="AY277" t="b">
        <v>0</v>
      </c>
      <c r="AZ277" t="s">
        <v>80</v>
      </c>
      <c r="BA277">
        <v>0</v>
      </c>
      <c r="BB277">
        <v>0</v>
      </c>
      <c r="BC277">
        <v>0</v>
      </c>
      <c r="BD277">
        <v>0</v>
      </c>
      <c r="BE277" t="s">
        <v>134</v>
      </c>
      <c r="BF277" t="b">
        <v>1</v>
      </c>
    </row>
    <row r="278" spans="1:58" x14ac:dyDescent="0.3">
      <c r="A278" t="s">
        <v>730</v>
      </c>
      <c r="B278" t="s">
        <v>67</v>
      </c>
      <c r="C278" t="s">
        <v>731</v>
      </c>
      <c r="D278" t="s">
        <v>69</v>
      </c>
      <c r="E278" t="s">
        <v>70</v>
      </c>
      <c r="F278" t="s">
        <v>115</v>
      </c>
      <c r="G278" s="1">
        <v>45172</v>
      </c>
      <c r="H278" s="1">
        <v>45596</v>
      </c>
      <c r="I278" s="1">
        <v>46612</v>
      </c>
      <c r="J278">
        <v>665900</v>
      </c>
      <c r="K278">
        <v>48</v>
      </c>
      <c r="L278">
        <v>35</v>
      </c>
      <c r="M278">
        <v>13</v>
      </c>
      <c r="N278">
        <v>9.74</v>
      </c>
      <c r="O278">
        <v>16805.919999999998</v>
      </c>
      <c r="P278" t="s">
        <v>72</v>
      </c>
      <c r="Q278">
        <v>439278.24</v>
      </c>
      <c r="R278">
        <v>16805.919999999998</v>
      </c>
      <c r="S278">
        <v>17091.02</v>
      </c>
      <c r="T278" s="1">
        <v>45580</v>
      </c>
      <c r="U278" t="s">
        <v>73</v>
      </c>
      <c r="V278">
        <v>0</v>
      </c>
      <c r="W278">
        <v>13</v>
      </c>
      <c r="X278">
        <v>13</v>
      </c>
      <c r="Y278">
        <v>0</v>
      </c>
      <c r="Z278">
        <v>0</v>
      </c>
      <c r="AA278">
        <v>0</v>
      </c>
      <c r="AB278" t="s">
        <v>74</v>
      </c>
      <c r="AC278" t="s">
        <v>260</v>
      </c>
      <c r="AD278">
        <v>2023</v>
      </c>
      <c r="AE278" t="s">
        <v>90</v>
      </c>
      <c r="AF278" t="b">
        <v>1</v>
      </c>
      <c r="AG278">
        <v>871000</v>
      </c>
      <c r="AH278">
        <v>688675.67</v>
      </c>
      <c r="AI278">
        <v>0.76449999999999996</v>
      </c>
      <c r="AJ278">
        <v>0.59760000000000002</v>
      </c>
      <c r="AK278">
        <v>47</v>
      </c>
      <c r="AL278" t="s">
        <v>132</v>
      </c>
      <c r="AM278">
        <v>1340000</v>
      </c>
      <c r="AN278">
        <v>0.15049999999999999</v>
      </c>
      <c r="AO278">
        <v>760</v>
      </c>
      <c r="AP278">
        <v>770</v>
      </c>
      <c r="AQ278" t="s">
        <v>100</v>
      </c>
      <c r="AR278" t="s">
        <v>121</v>
      </c>
      <c r="AS278">
        <v>1</v>
      </c>
      <c r="AT278">
        <v>1.7299999999999999E-2</v>
      </c>
      <c r="AU278">
        <v>0.3745</v>
      </c>
      <c r="AV278">
        <v>458469.78</v>
      </c>
      <c r="AW278">
        <v>2970.36</v>
      </c>
      <c r="AX278" t="b">
        <v>0</v>
      </c>
      <c r="AY278" t="b">
        <v>0</v>
      </c>
      <c r="AZ278" t="s">
        <v>80</v>
      </c>
      <c r="BA278">
        <v>0</v>
      </c>
      <c r="BB278">
        <v>0</v>
      </c>
      <c r="BC278">
        <v>0</v>
      </c>
      <c r="BD278">
        <v>0</v>
      </c>
      <c r="BE278" t="s">
        <v>81</v>
      </c>
      <c r="BF278" t="b">
        <v>1</v>
      </c>
    </row>
    <row r="279" spans="1:58" x14ac:dyDescent="0.3">
      <c r="A279" t="s">
        <v>732</v>
      </c>
      <c r="B279" t="s">
        <v>67</v>
      </c>
      <c r="C279" t="s">
        <v>733</v>
      </c>
      <c r="D279" t="s">
        <v>84</v>
      </c>
      <c r="E279" t="s">
        <v>85</v>
      </c>
      <c r="F279" t="s">
        <v>86</v>
      </c>
      <c r="G279" s="1">
        <v>44307</v>
      </c>
      <c r="H279" s="1">
        <v>45596</v>
      </c>
      <c r="I279" s="1">
        <v>46467</v>
      </c>
      <c r="J279">
        <v>898500</v>
      </c>
      <c r="K279">
        <v>72</v>
      </c>
      <c r="L279">
        <v>30</v>
      </c>
      <c r="M279">
        <v>42</v>
      </c>
      <c r="N279">
        <v>10.87</v>
      </c>
      <c r="O279">
        <v>17042.349999999999</v>
      </c>
      <c r="P279" t="s">
        <v>72</v>
      </c>
      <c r="Q279">
        <v>367009.53</v>
      </c>
      <c r="R279">
        <v>17042.349999999999</v>
      </c>
      <c r="S279">
        <v>16882.810000000001</v>
      </c>
      <c r="T279" s="1">
        <v>45563</v>
      </c>
      <c r="U279" t="s">
        <v>73</v>
      </c>
      <c r="V279">
        <v>0</v>
      </c>
      <c r="W279">
        <v>42</v>
      </c>
      <c r="X279">
        <v>42</v>
      </c>
      <c r="Y279">
        <v>0</v>
      </c>
      <c r="Z279">
        <v>0</v>
      </c>
      <c r="AA279">
        <v>0</v>
      </c>
      <c r="AB279" t="s">
        <v>74</v>
      </c>
      <c r="AC279" t="s">
        <v>188</v>
      </c>
      <c r="AD279">
        <v>2021</v>
      </c>
      <c r="AE279" t="s">
        <v>119</v>
      </c>
      <c r="AF279" t="b">
        <v>1</v>
      </c>
      <c r="AG279">
        <v>1244000</v>
      </c>
      <c r="AH279">
        <v>644455.16</v>
      </c>
      <c r="AI279">
        <v>0.72219999999999995</v>
      </c>
      <c r="AJ279">
        <v>0.5948</v>
      </c>
      <c r="AK279">
        <v>35</v>
      </c>
      <c r="AL279" t="s">
        <v>120</v>
      </c>
      <c r="AM279">
        <v>1967000</v>
      </c>
      <c r="AN279">
        <v>0.104</v>
      </c>
      <c r="AO279">
        <v>827</v>
      </c>
      <c r="AP279">
        <v>850</v>
      </c>
      <c r="AQ279" t="s">
        <v>127</v>
      </c>
      <c r="AR279" t="s">
        <v>128</v>
      </c>
      <c r="AS279">
        <v>1</v>
      </c>
      <c r="AT279">
        <v>1.4200000000000001E-2</v>
      </c>
      <c r="AU279">
        <v>0.61899999999999999</v>
      </c>
      <c r="AV279">
        <v>384145.56</v>
      </c>
      <c r="AW279">
        <v>3376.56</v>
      </c>
      <c r="AX279" t="b">
        <v>0</v>
      </c>
      <c r="AY279" t="b">
        <v>0</v>
      </c>
      <c r="AZ279" t="s">
        <v>80</v>
      </c>
      <c r="BA279">
        <v>0</v>
      </c>
      <c r="BB279">
        <v>0</v>
      </c>
      <c r="BC279">
        <v>0</v>
      </c>
      <c r="BD279">
        <v>0</v>
      </c>
      <c r="BE279" t="s">
        <v>108</v>
      </c>
      <c r="BF279" t="b">
        <v>1</v>
      </c>
    </row>
    <row r="280" spans="1:58" x14ac:dyDescent="0.3">
      <c r="A280" t="s">
        <v>734</v>
      </c>
      <c r="B280" t="s">
        <v>67</v>
      </c>
      <c r="C280" t="s">
        <v>735</v>
      </c>
      <c r="D280" t="s">
        <v>84</v>
      </c>
      <c r="E280" t="s">
        <v>85</v>
      </c>
      <c r="F280" t="s">
        <v>124</v>
      </c>
      <c r="G280" s="1">
        <v>45119</v>
      </c>
      <c r="H280" s="1">
        <v>45596</v>
      </c>
      <c r="I280" s="1">
        <v>46559</v>
      </c>
      <c r="J280">
        <v>546000</v>
      </c>
      <c r="K280">
        <v>48</v>
      </c>
      <c r="L280">
        <v>33</v>
      </c>
      <c r="M280">
        <v>15</v>
      </c>
      <c r="N280">
        <v>10.44</v>
      </c>
      <c r="O280">
        <v>13963.63</v>
      </c>
      <c r="P280" t="s">
        <v>72</v>
      </c>
      <c r="Q280">
        <v>368585.57</v>
      </c>
      <c r="R280">
        <v>13963.63</v>
      </c>
      <c r="S280">
        <v>14625.6</v>
      </c>
      <c r="T280" s="1">
        <v>45575</v>
      </c>
      <c r="U280" t="s">
        <v>73</v>
      </c>
      <c r="V280">
        <v>0</v>
      </c>
      <c r="W280">
        <v>15</v>
      </c>
      <c r="X280">
        <v>15</v>
      </c>
      <c r="Y280">
        <v>0</v>
      </c>
      <c r="Z280">
        <v>0</v>
      </c>
      <c r="AA280">
        <v>0</v>
      </c>
      <c r="AB280" t="s">
        <v>208</v>
      </c>
      <c r="AC280" t="s">
        <v>405</v>
      </c>
      <c r="AD280">
        <v>2023</v>
      </c>
      <c r="AE280" t="s">
        <v>90</v>
      </c>
      <c r="AF280" t="b">
        <v>1</v>
      </c>
      <c r="AG280">
        <v>807000</v>
      </c>
      <c r="AH280">
        <v>610571.62</v>
      </c>
      <c r="AI280">
        <v>0.67649999999999999</v>
      </c>
      <c r="AJ280">
        <v>0.55700000000000005</v>
      </c>
      <c r="AK280">
        <v>61</v>
      </c>
      <c r="AL280" t="s">
        <v>120</v>
      </c>
      <c r="AM280">
        <v>1316000</v>
      </c>
      <c r="AN280">
        <v>0.1273</v>
      </c>
      <c r="AO280">
        <v>703</v>
      </c>
      <c r="AP280">
        <v>677</v>
      </c>
      <c r="AQ280" t="s">
        <v>78</v>
      </c>
      <c r="AR280" t="s">
        <v>79</v>
      </c>
      <c r="AS280">
        <v>1</v>
      </c>
      <c r="AT280">
        <v>2.18E-2</v>
      </c>
      <c r="AU280">
        <v>0.48680000000000001</v>
      </c>
      <c r="AV280">
        <v>376148.7</v>
      </c>
      <c r="AW280">
        <v>3991.78</v>
      </c>
      <c r="AX280" t="b">
        <v>0</v>
      </c>
      <c r="AY280" t="b">
        <v>0</v>
      </c>
      <c r="AZ280" t="s">
        <v>80</v>
      </c>
      <c r="BA280">
        <v>0</v>
      </c>
      <c r="BB280">
        <v>0</v>
      </c>
      <c r="BC280">
        <v>0</v>
      </c>
      <c r="BD280">
        <v>0</v>
      </c>
      <c r="BE280" t="s">
        <v>108</v>
      </c>
      <c r="BF280" t="b">
        <v>1</v>
      </c>
    </row>
    <row r="281" spans="1:58" x14ac:dyDescent="0.3">
      <c r="A281" t="s">
        <v>736</v>
      </c>
      <c r="B281" t="s">
        <v>67</v>
      </c>
      <c r="C281" t="s">
        <v>737</v>
      </c>
      <c r="D281" t="s">
        <v>84</v>
      </c>
      <c r="E281" t="s">
        <v>85</v>
      </c>
      <c r="F281" t="s">
        <v>115</v>
      </c>
      <c r="G281" s="1">
        <v>44557</v>
      </c>
      <c r="H281" s="1">
        <v>45596</v>
      </c>
      <c r="I281" s="1">
        <v>46717</v>
      </c>
      <c r="J281">
        <v>1069600</v>
      </c>
      <c r="K281">
        <v>72</v>
      </c>
      <c r="L281">
        <v>38</v>
      </c>
      <c r="M281">
        <v>34</v>
      </c>
      <c r="N281">
        <v>9.5</v>
      </c>
      <c r="O281">
        <v>19546.61</v>
      </c>
      <c r="P281" t="s">
        <v>72</v>
      </c>
      <c r="Q281">
        <v>563913.19999999995</v>
      </c>
      <c r="R281">
        <v>19546.61</v>
      </c>
      <c r="S281">
        <v>18951.53</v>
      </c>
      <c r="T281" s="1">
        <v>45566</v>
      </c>
      <c r="U281" t="s">
        <v>73</v>
      </c>
      <c r="V281">
        <v>0</v>
      </c>
      <c r="W281">
        <v>34</v>
      </c>
      <c r="X281">
        <v>34</v>
      </c>
      <c r="Y281">
        <v>0</v>
      </c>
      <c r="Z281">
        <v>0</v>
      </c>
      <c r="AA281">
        <v>0</v>
      </c>
      <c r="AB281" t="s">
        <v>164</v>
      </c>
      <c r="AC281" t="s">
        <v>165</v>
      </c>
      <c r="AD281">
        <v>2021</v>
      </c>
      <c r="AE281" t="s">
        <v>90</v>
      </c>
      <c r="AF281" t="b">
        <v>1</v>
      </c>
      <c r="AG281">
        <v>1354000</v>
      </c>
      <c r="AH281">
        <v>873797.53</v>
      </c>
      <c r="AI281">
        <v>0.79</v>
      </c>
      <c r="AJ281">
        <v>0.70350000000000001</v>
      </c>
      <c r="AK281">
        <v>51</v>
      </c>
      <c r="AL281" t="s">
        <v>106</v>
      </c>
      <c r="AM281">
        <v>4727000</v>
      </c>
      <c r="AN281">
        <v>4.9599999999999998E-2</v>
      </c>
      <c r="AO281">
        <v>675</v>
      </c>
      <c r="AP281">
        <v>636</v>
      </c>
      <c r="AQ281" t="s">
        <v>145</v>
      </c>
      <c r="AR281" t="s">
        <v>146</v>
      </c>
      <c r="AS281">
        <v>1</v>
      </c>
      <c r="AT281">
        <v>2.1999999999999999E-2</v>
      </c>
      <c r="AU281">
        <v>0.60550000000000004</v>
      </c>
      <c r="AV281">
        <v>569887.05000000005</v>
      </c>
      <c r="AW281">
        <v>7591.47</v>
      </c>
      <c r="AX281" t="b">
        <v>0</v>
      </c>
      <c r="AY281" t="b">
        <v>0</v>
      </c>
      <c r="AZ281" t="s">
        <v>80</v>
      </c>
      <c r="BA281">
        <v>0</v>
      </c>
      <c r="BB281">
        <v>0</v>
      </c>
      <c r="BC281">
        <v>0</v>
      </c>
      <c r="BD281">
        <v>0</v>
      </c>
      <c r="BE281" t="s">
        <v>81</v>
      </c>
      <c r="BF281" t="b">
        <v>1</v>
      </c>
    </row>
    <row r="282" spans="1:58" x14ac:dyDescent="0.3">
      <c r="A282" t="s">
        <v>738</v>
      </c>
      <c r="B282" t="s">
        <v>67</v>
      </c>
      <c r="C282" t="s">
        <v>739</v>
      </c>
      <c r="D282" t="s">
        <v>95</v>
      </c>
      <c r="E282" t="s">
        <v>96</v>
      </c>
      <c r="F282" t="s">
        <v>86</v>
      </c>
      <c r="G282" s="1">
        <v>44915</v>
      </c>
      <c r="H282" s="1">
        <v>45596</v>
      </c>
      <c r="I282" s="1">
        <v>46355</v>
      </c>
      <c r="J282">
        <v>600300</v>
      </c>
      <c r="K282">
        <v>48</v>
      </c>
      <c r="L282">
        <v>26</v>
      </c>
      <c r="M282">
        <v>22</v>
      </c>
      <c r="N282">
        <v>11.05</v>
      </c>
      <c r="O282">
        <v>15529.65</v>
      </c>
      <c r="P282" t="s">
        <v>72</v>
      </c>
      <c r="Q282">
        <v>305698.71999999997</v>
      </c>
      <c r="R282">
        <v>15529.65</v>
      </c>
      <c r="S282">
        <v>15753.95</v>
      </c>
      <c r="T282" s="1">
        <v>45593</v>
      </c>
      <c r="U282" t="s">
        <v>73</v>
      </c>
      <c r="V282">
        <v>0</v>
      </c>
      <c r="W282">
        <v>22</v>
      </c>
      <c r="X282">
        <v>22</v>
      </c>
      <c r="Y282">
        <v>0</v>
      </c>
      <c r="Z282">
        <v>0</v>
      </c>
      <c r="AA282">
        <v>0</v>
      </c>
      <c r="AB282" t="s">
        <v>164</v>
      </c>
      <c r="AC282" t="s">
        <v>165</v>
      </c>
      <c r="AD282">
        <v>2022</v>
      </c>
      <c r="AE282" t="s">
        <v>166</v>
      </c>
      <c r="AF282" t="b">
        <v>1</v>
      </c>
      <c r="AG282">
        <v>821000</v>
      </c>
      <c r="AH282">
        <v>640672.29</v>
      </c>
      <c r="AI282">
        <v>0.73109999999999997</v>
      </c>
      <c r="AJ282">
        <v>0.50590000000000002</v>
      </c>
      <c r="AK282">
        <v>39</v>
      </c>
      <c r="AL282" t="s">
        <v>106</v>
      </c>
      <c r="AM282">
        <v>4099000</v>
      </c>
      <c r="AN282">
        <v>4.5499999999999999E-2</v>
      </c>
      <c r="AO282">
        <v>756</v>
      </c>
      <c r="AP282">
        <v>736</v>
      </c>
      <c r="AQ282" t="s">
        <v>145</v>
      </c>
      <c r="AR282" t="s">
        <v>182</v>
      </c>
      <c r="AS282">
        <v>1</v>
      </c>
      <c r="AT282">
        <v>1.6E-2</v>
      </c>
      <c r="AU282">
        <v>0.52170000000000005</v>
      </c>
      <c r="AV282">
        <v>312271.53999999998</v>
      </c>
      <c r="AW282">
        <v>2606.59</v>
      </c>
      <c r="AX282" t="b">
        <v>0</v>
      </c>
      <c r="AY282" t="b">
        <v>0</v>
      </c>
      <c r="AZ282" t="s">
        <v>80</v>
      </c>
      <c r="BA282">
        <v>0</v>
      </c>
      <c r="BB282">
        <v>0</v>
      </c>
      <c r="BC282">
        <v>0</v>
      </c>
      <c r="BD282">
        <v>0</v>
      </c>
      <c r="BE282" t="s">
        <v>108</v>
      </c>
      <c r="BF282" t="b">
        <v>1</v>
      </c>
    </row>
    <row r="283" spans="1:58" x14ac:dyDescent="0.3">
      <c r="A283" t="s">
        <v>740</v>
      </c>
      <c r="B283" t="s">
        <v>67</v>
      </c>
      <c r="C283" t="s">
        <v>741</v>
      </c>
      <c r="D283" t="s">
        <v>84</v>
      </c>
      <c r="E283" t="s">
        <v>85</v>
      </c>
      <c r="F283" t="s">
        <v>71</v>
      </c>
      <c r="G283" s="1">
        <v>45380</v>
      </c>
      <c r="H283" s="1">
        <v>45596</v>
      </c>
      <c r="I283" s="1">
        <v>47180</v>
      </c>
      <c r="J283">
        <v>2272500</v>
      </c>
      <c r="K283">
        <v>60</v>
      </c>
      <c r="L283">
        <v>53</v>
      </c>
      <c r="M283">
        <v>7</v>
      </c>
      <c r="N283">
        <v>11.12</v>
      </c>
      <c r="O283">
        <v>49545.760000000002</v>
      </c>
      <c r="P283" t="s">
        <v>72</v>
      </c>
      <c r="Q283">
        <v>1938341.85</v>
      </c>
      <c r="R283">
        <v>49545.760000000002</v>
      </c>
      <c r="S283">
        <v>50705.97</v>
      </c>
      <c r="T283" s="1">
        <v>45567</v>
      </c>
      <c r="U283" t="s">
        <v>73</v>
      </c>
      <c r="V283">
        <v>0</v>
      </c>
      <c r="W283">
        <v>7</v>
      </c>
      <c r="X283">
        <v>7</v>
      </c>
      <c r="Y283">
        <v>0</v>
      </c>
      <c r="Z283">
        <v>0</v>
      </c>
      <c r="AA283">
        <v>0</v>
      </c>
      <c r="AB283" t="s">
        <v>174</v>
      </c>
      <c r="AC283" t="s">
        <v>305</v>
      </c>
      <c r="AD283">
        <v>2024</v>
      </c>
      <c r="AE283" t="s">
        <v>166</v>
      </c>
      <c r="AF283" t="b">
        <v>1</v>
      </c>
      <c r="AG283">
        <v>3439000</v>
      </c>
      <c r="AH283">
        <v>3234839.12</v>
      </c>
      <c r="AI283">
        <v>0.66080000000000005</v>
      </c>
      <c r="AJ283">
        <v>0.61529999999999996</v>
      </c>
      <c r="AK283">
        <v>30</v>
      </c>
      <c r="AL283" t="s">
        <v>132</v>
      </c>
      <c r="AM283">
        <v>2439000</v>
      </c>
      <c r="AN283">
        <v>0.24379999999999999</v>
      </c>
      <c r="AO283">
        <v>845</v>
      </c>
      <c r="AP283">
        <v>875</v>
      </c>
      <c r="AQ283" t="s">
        <v>91</v>
      </c>
      <c r="AR283" t="s">
        <v>252</v>
      </c>
      <c r="AS283">
        <v>1</v>
      </c>
      <c r="AT283">
        <v>1.43E-2</v>
      </c>
      <c r="AU283">
        <v>0.56230000000000002</v>
      </c>
      <c r="AV283">
        <v>2027563.18</v>
      </c>
      <c r="AW283">
        <v>16303.41</v>
      </c>
      <c r="AX283" t="b">
        <v>0</v>
      </c>
      <c r="AY283" t="b">
        <v>0</v>
      </c>
      <c r="AZ283" t="s">
        <v>80</v>
      </c>
      <c r="BA283">
        <v>0</v>
      </c>
      <c r="BB283">
        <v>0</v>
      </c>
      <c r="BC283">
        <v>0</v>
      </c>
      <c r="BD283">
        <v>0</v>
      </c>
      <c r="BE283" t="s">
        <v>108</v>
      </c>
      <c r="BF283" t="b">
        <v>1</v>
      </c>
    </row>
    <row r="284" spans="1:58" x14ac:dyDescent="0.3">
      <c r="A284" t="s">
        <v>742</v>
      </c>
      <c r="B284" t="s">
        <v>67</v>
      </c>
      <c r="C284" t="s">
        <v>743</v>
      </c>
      <c r="D284" t="s">
        <v>95</v>
      </c>
      <c r="E284" t="s">
        <v>96</v>
      </c>
      <c r="F284" t="s">
        <v>86</v>
      </c>
      <c r="G284" s="1">
        <v>44930</v>
      </c>
      <c r="H284" s="1">
        <v>45596</v>
      </c>
      <c r="I284" s="1">
        <v>46370</v>
      </c>
      <c r="J284">
        <v>800000</v>
      </c>
      <c r="K284">
        <v>48</v>
      </c>
      <c r="L284">
        <v>27</v>
      </c>
      <c r="M284">
        <v>21</v>
      </c>
      <c r="N284">
        <v>12.58</v>
      </c>
      <c r="O284">
        <v>21295.61</v>
      </c>
      <c r="P284" t="s">
        <v>72</v>
      </c>
      <c r="Q284">
        <v>459479.07</v>
      </c>
      <c r="R284">
        <v>21295.61</v>
      </c>
      <c r="S284">
        <v>22273.54</v>
      </c>
      <c r="T284" s="1">
        <v>45592</v>
      </c>
      <c r="U284" t="s">
        <v>73</v>
      </c>
      <c r="V284">
        <v>0</v>
      </c>
      <c r="W284">
        <v>21</v>
      </c>
      <c r="X284">
        <v>21</v>
      </c>
      <c r="Y284">
        <v>0</v>
      </c>
      <c r="Z284">
        <v>0</v>
      </c>
      <c r="AA284">
        <v>0</v>
      </c>
      <c r="AB284" t="s">
        <v>208</v>
      </c>
      <c r="AC284" t="s">
        <v>344</v>
      </c>
      <c r="AD284">
        <v>2023</v>
      </c>
      <c r="AE284" t="s">
        <v>76</v>
      </c>
      <c r="AF284" t="b">
        <v>1</v>
      </c>
      <c r="AG284">
        <v>1016000</v>
      </c>
      <c r="AH284">
        <v>715934.84</v>
      </c>
      <c r="AI284">
        <v>0.78739999999999999</v>
      </c>
      <c r="AJ284">
        <v>0.60460000000000003</v>
      </c>
      <c r="AK284">
        <v>39</v>
      </c>
      <c r="AL284" t="s">
        <v>132</v>
      </c>
      <c r="AM284">
        <v>2831000</v>
      </c>
      <c r="AN284">
        <v>9.0300000000000005E-2</v>
      </c>
      <c r="AO284">
        <v>810</v>
      </c>
      <c r="AP284">
        <v>762</v>
      </c>
      <c r="AQ284" t="s">
        <v>78</v>
      </c>
      <c r="AR284" t="s">
        <v>79</v>
      </c>
      <c r="AS284">
        <v>1</v>
      </c>
      <c r="AT284">
        <v>2.5000000000000001E-2</v>
      </c>
      <c r="AU284">
        <v>0.41239999999999999</v>
      </c>
      <c r="AV284">
        <v>461791.9</v>
      </c>
      <c r="AW284">
        <v>4761.07</v>
      </c>
      <c r="AX284" t="b">
        <v>0</v>
      </c>
      <c r="AY284" t="b">
        <v>0</v>
      </c>
      <c r="AZ284" t="s">
        <v>80</v>
      </c>
      <c r="BA284">
        <v>0</v>
      </c>
      <c r="BB284">
        <v>0</v>
      </c>
      <c r="BC284">
        <v>0</v>
      </c>
      <c r="BD284">
        <v>0</v>
      </c>
      <c r="BE284" t="s">
        <v>134</v>
      </c>
      <c r="BF284" t="b">
        <v>1</v>
      </c>
    </row>
    <row r="285" spans="1:58" x14ac:dyDescent="0.3">
      <c r="A285" t="s">
        <v>744</v>
      </c>
      <c r="B285" t="s">
        <v>67</v>
      </c>
      <c r="C285" t="s">
        <v>745</v>
      </c>
      <c r="D285" t="s">
        <v>84</v>
      </c>
      <c r="E285" t="s">
        <v>85</v>
      </c>
      <c r="F285" t="s">
        <v>71</v>
      </c>
      <c r="G285" s="1">
        <v>45056</v>
      </c>
      <c r="H285" s="1">
        <v>45596</v>
      </c>
      <c r="I285" s="1">
        <v>46136</v>
      </c>
      <c r="J285">
        <v>1977500</v>
      </c>
      <c r="K285">
        <v>36</v>
      </c>
      <c r="L285">
        <v>19</v>
      </c>
      <c r="M285">
        <v>17</v>
      </c>
      <c r="N285">
        <v>13.83</v>
      </c>
      <c r="O285">
        <v>67423.100000000006</v>
      </c>
      <c r="P285" t="s">
        <v>72</v>
      </c>
      <c r="Q285">
        <v>1042584.65</v>
      </c>
      <c r="R285">
        <v>67423.100000000006</v>
      </c>
      <c r="S285">
        <v>70388.69</v>
      </c>
      <c r="T285" s="1">
        <v>45579</v>
      </c>
      <c r="U285" t="s">
        <v>73</v>
      </c>
      <c r="V285">
        <v>0</v>
      </c>
      <c r="W285">
        <v>17</v>
      </c>
      <c r="X285">
        <v>17</v>
      </c>
      <c r="Y285">
        <v>0</v>
      </c>
      <c r="Z285">
        <v>0</v>
      </c>
      <c r="AA285">
        <v>0</v>
      </c>
      <c r="AB285" t="s">
        <v>174</v>
      </c>
      <c r="AC285" t="s">
        <v>423</v>
      </c>
      <c r="AD285">
        <v>2023</v>
      </c>
      <c r="AE285" t="s">
        <v>166</v>
      </c>
      <c r="AF285" t="b">
        <v>1</v>
      </c>
      <c r="AG285">
        <v>2983000</v>
      </c>
      <c r="AH285">
        <v>2266983.66</v>
      </c>
      <c r="AI285">
        <v>0.66290000000000004</v>
      </c>
      <c r="AJ285">
        <v>0.43909999999999999</v>
      </c>
      <c r="AK285">
        <v>61</v>
      </c>
      <c r="AL285" t="s">
        <v>132</v>
      </c>
      <c r="AM285">
        <v>1291000</v>
      </c>
      <c r="AN285">
        <v>0.62670000000000003</v>
      </c>
      <c r="AO285">
        <v>738</v>
      </c>
      <c r="AP285">
        <v>749</v>
      </c>
      <c r="AQ285" t="s">
        <v>78</v>
      </c>
      <c r="AR285" t="s">
        <v>79</v>
      </c>
      <c r="AS285">
        <v>1</v>
      </c>
      <c r="AT285">
        <v>1.66E-2</v>
      </c>
      <c r="AU285">
        <v>0.45950000000000002</v>
      </c>
      <c r="AV285">
        <v>1089426.54</v>
      </c>
      <c r="AW285">
        <v>8309.82</v>
      </c>
      <c r="AX285" t="b">
        <v>0</v>
      </c>
      <c r="AY285" t="b">
        <v>0</v>
      </c>
      <c r="AZ285" t="s">
        <v>80</v>
      </c>
      <c r="BA285">
        <v>0</v>
      </c>
      <c r="BB285">
        <v>0</v>
      </c>
      <c r="BC285">
        <v>0</v>
      </c>
      <c r="BD285">
        <v>28027.45</v>
      </c>
      <c r="BE285" t="s">
        <v>108</v>
      </c>
      <c r="BF285" t="b">
        <v>1</v>
      </c>
    </row>
    <row r="286" spans="1:58" x14ac:dyDescent="0.3">
      <c r="A286" t="s">
        <v>746</v>
      </c>
      <c r="B286" t="s">
        <v>67</v>
      </c>
      <c r="C286" t="s">
        <v>747</v>
      </c>
      <c r="D286" t="s">
        <v>95</v>
      </c>
      <c r="E286" t="s">
        <v>96</v>
      </c>
      <c r="F286" t="s">
        <v>124</v>
      </c>
      <c r="G286" s="1">
        <v>44605</v>
      </c>
      <c r="H286" s="1">
        <v>45596</v>
      </c>
      <c r="I286" s="1">
        <v>46765</v>
      </c>
      <c r="J286">
        <v>1820200</v>
      </c>
      <c r="K286">
        <v>72</v>
      </c>
      <c r="L286">
        <v>40</v>
      </c>
      <c r="M286">
        <v>32</v>
      </c>
      <c r="N286">
        <v>11.09</v>
      </c>
      <c r="O286">
        <v>34729.79</v>
      </c>
      <c r="P286" t="s">
        <v>72</v>
      </c>
      <c r="Q286">
        <v>970764.56</v>
      </c>
      <c r="R286">
        <v>34729.79</v>
      </c>
      <c r="S286">
        <v>34962.97</v>
      </c>
      <c r="T286" s="1">
        <v>45573</v>
      </c>
      <c r="U286" t="s">
        <v>73</v>
      </c>
      <c r="V286">
        <v>0</v>
      </c>
      <c r="W286">
        <v>32</v>
      </c>
      <c r="X286">
        <v>32</v>
      </c>
      <c r="Y286">
        <v>0</v>
      </c>
      <c r="Z286">
        <v>0</v>
      </c>
      <c r="AA286">
        <v>0</v>
      </c>
      <c r="AB286" t="s">
        <v>74</v>
      </c>
      <c r="AC286" t="s">
        <v>260</v>
      </c>
      <c r="AD286">
        <v>2022</v>
      </c>
      <c r="AE286" t="s">
        <v>119</v>
      </c>
      <c r="AF286" t="b">
        <v>1</v>
      </c>
      <c r="AG286">
        <v>2061000</v>
      </c>
      <c r="AH286">
        <v>1370607.51</v>
      </c>
      <c r="AI286">
        <v>0.88319999999999999</v>
      </c>
      <c r="AJ286">
        <v>0.76459999999999995</v>
      </c>
      <c r="AK286">
        <v>40</v>
      </c>
      <c r="AL286" t="s">
        <v>77</v>
      </c>
      <c r="AM286">
        <v>1230000</v>
      </c>
      <c r="AN286">
        <v>0.33879999999999999</v>
      </c>
      <c r="AO286">
        <v>833</v>
      </c>
      <c r="AP286">
        <v>818</v>
      </c>
      <c r="AQ286" t="s">
        <v>127</v>
      </c>
      <c r="AR286" t="s">
        <v>128</v>
      </c>
      <c r="AS286">
        <v>1</v>
      </c>
      <c r="AT286">
        <v>2.12E-2</v>
      </c>
      <c r="AU286">
        <v>0.43149999999999999</v>
      </c>
      <c r="AV286">
        <v>986236.06</v>
      </c>
      <c r="AW286">
        <v>9021.89</v>
      </c>
      <c r="AX286" t="b">
        <v>0</v>
      </c>
      <c r="AY286" t="b">
        <v>0</v>
      </c>
      <c r="AZ286" t="s">
        <v>80</v>
      </c>
      <c r="BA286">
        <v>0</v>
      </c>
      <c r="BB286">
        <v>0</v>
      </c>
      <c r="BC286">
        <v>0</v>
      </c>
      <c r="BD286">
        <v>0</v>
      </c>
      <c r="BE286" t="s">
        <v>81</v>
      </c>
      <c r="BF286" t="b">
        <v>1</v>
      </c>
    </row>
    <row r="287" spans="1:58" x14ac:dyDescent="0.3">
      <c r="A287" t="s">
        <v>748</v>
      </c>
      <c r="B287" t="s">
        <v>67</v>
      </c>
      <c r="C287" t="s">
        <v>749</v>
      </c>
      <c r="D287" t="s">
        <v>69</v>
      </c>
      <c r="E287" t="s">
        <v>70</v>
      </c>
      <c r="F287" t="s">
        <v>86</v>
      </c>
      <c r="G287" s="1">
        <v>44328</v>
      </c>
      <c r="H287" s="1">
        <v>45596</v>
      </c>
      <c r="I287" s="1">
        <v>46848</v>
      </c>
      <c r="J287">
        <v>727100</v>
      </c>
      <c r="K287">
        <v>84</v>
      </c>
      <c r="L287">
        <v>43</v>
      </c>
      <c r="M287">
        <v>41</v>
      </c>
      <c r="N287">
        <v>13.29</v>
      </c>
      <c r="O287">
        <v>13342.28</v>
      </c>
      <c r="P287" t="s">
        <v>72</v>
      </c>
      <c r="Q287">
        <v>371001.75</v>
      </c>
      <c r="R287">
        <v>13342.28</v>
      </c>
      <c r="S287">
        <v>13424.52</v>
      </c>
      <c r="T287" s="1">
        <v>45572</v>
      </c>
      <c r="U287" t="s">
        <v>73</v>
      </c>
      <c r="V287">
        <v>0</v>
      </c>
      <c r="W287">
        <v>41</v>
      </c>
      <c r="X287">
        <v>41</v>
      </c>
      <c r="Y287">
        <v>0</v>
      </c>
      <c r="Z287">
        <v>0</v>
      </c>
      <c r="AA287">
        <v>0</v>
      </c>
      <c r="AB287" t="s">
        <v>164</v>
      </c>
      <c r="AC287" t="s">
        <v>279</v>
      </c>
      <c r="AD287">
        <v>2021</v>
      </c>
      <c r="AE287" t="s">
        <v>90</v>
      </c>
      <c r="AF287" t="b">
        <v>1</v>
      </c>
      <c r="AG287">
        <v>978000</v>
      </c>
      <c r="AH287">
        <v>475322.87</v>
      </c>
      <c r="AI287">
        <v>0.74339999999999995</v>
      </c>
      <c r="AJ287">
        <v>0.74670000000000003</v>
      </c>
      <c r="AK287">
        <v>47</v>
      </c>
      <c r="AL287" t="s">
        <v>120</v>
      </c>
      <c r="AM287">
        <v>441000</v>
      </c>
      <c r="AN287">
        <v>0.36309999999999998</v>
      </c>
      <c r="AO287">
        <v>696</v>
      </c>
      <c r="AP287">
        <v>687</v>
      </c>
      <c r="AQ287" t="s">
        <v>127</v>
      </c>
      <c r="AR287" t="s">
        <v>153</v>
      </c>
      <c r="AS287">
        <v>1</v>
      </c>
      <c r="AT287">
        <v>2.23E-2</v>
      </c>
      <c r="AU287">
        <v>0.56499999999999995</v>
      </c>
      <c r="AV287">
        <v>374967.25</v>
      </c>
      <c r="AW287">
        <v>4724.3999999999996</v>
      </c>
      <c r="AX287" t="b">
        <v>0</v>
      </c>
      <c r="AY287" t="b">
        <v>0</v>
      </c>
      <c r="AZ287" t="s">
        <v>80</v>
      </c>
      <c r="BA287">
        <v>0</v>
      </c>
      <c r="BB287">
        <v>0</v>
      </c>
      <c r="BC287">
        <v>0</v>
      </c>
      <c r="BD287">
        <v>0</v>
      </c>
      <c r="BE287" t="s">
        <v>81</v>
      </c>
      <c r="BF287" t="b">
        <v>1</v>
      </c>
    </row>
    <row r="288" spans="1:58" x14ac:dyDescent="0.3">
      <c r="A288" t="s">
        <v>750</v>
      </c>
      <c r="B288" t="s">
        <v>67</v>
      </c>
      <c r="C288" t="s">
        <v>751</v>
      </c>
      <c r="D288" t="s">
        <v>84</v>
      </c>
      <c r="E288" t="s">
        <v>85</v>
      </c>
      <c r="F288" t="s">
        <v>115</v>
      </c>
      <c r="G288" s="1">
        <v>44631</v>
      </c>
      <c r="H288" s="1">
        <v>45596</v>
      </c>
      <c r="I288" s="1">
        <v>46791</v>
      </c>
      <c r="J288">
        <v>1078800</v>
      </c>
      <c r="K288">
        <v>72</v>
      </c>
      <c r="L288">
        <v>41</v>
      </c>
      <c r="M288">
        <v>31</v>
      </c>
      <c r="N288">
        <v>9.7200000000000006</v>
      </c>
      <c r="O288">
        <v>19833.68</v>
      </c>
      <c r="P288" t="s">
        <v>139</v>
      </c>
      <c r="Q288">
        <v>582383.39</v>
      </c>
      <c r="R288">
        <v>19833.68</v>
      </c>
      <c r="S288">
        <v>20662.8</v>
      </c>
      <c r="T288" s="1">
        <v>45594</v>
      </c>
      <c r="U288" t="s">
        <v>73</v>
      </c>
      <c r="V288">
        <v>0</v>
      </c>
      <c r="W288">
        <v>31</v>
      </c>
      <c r="X288">
        <v>31</v>
      </c>
      <c r="Y288">
        <v>0</v>
      </c>
      <c r="Z288">
        <v>0</v>
      </c>
      <c r="AA288">
        <v>0</v>
      </c>
      <c r="AB288" t="s">
        <v>97</v>
      </c>
      <c r="AC288" t="s">
        <v>98</v>
      </c>
      <c r="AD288">
        <v>2019</v>
      </c>
      <c r="AE288" t="s">
        <v>90</v>
      </c>
      <c r="AF288" t="b">
        <v>0</v>
      </c>
      <c r="AG288">
        <v>1292000</v>
      </c>
      <c r="AH288">
        <v>784988.41</v>
      </c>
      <c r="AI288">
        <v>0.83499999999999996</v>
      </c>
      <c r="AJ288">
        <v>0.71779999999999999</v>
      </c>
      <c r="AK288">
        <v>27</v>
      </c>
      <c r="AL288" t="s">
        <v>120</v>
      </c>
      <c r="AM288">
        <v>2644000</v>
      </c>
      <c r="AN288">
        <v>0.09</v>
      </c>
      <c r="AO288">
        <v>720</v>
      </c>
      <c r="AP288">
        <v>723</v>
      </c>
      <c r="AQ288" t="s">
        <v>145</v>
      </c>
      <c r="AR288" t="s">
        <v>146</v>
      </c>
      <c r="AS288">
        <v>1</v>
      </c>
      <c r="AT288">
        <v>2.4899999999999999E-2</v>
      </c>
      <c r="AU288">
        <v>0.43530000000000002</v>
      </c>
      <c r="AV288">
        <v>606891.32999999996</v>
      </c>
      <c r="AW288">
        <v>6578.08</v>
      </c>
      <c r="AX288" t="b">
        <v>0</v>
      </c>
      <c r="AY288" t="b">
        <v>0</v>
      </c>
      <c r="AZ288" t="s">
        <v>80</v>
      </c>
      <c r="BA288">
        <v>0</v>
      </c>
      <c r="BB288">
        <v>0</v>
      </c>
      <c r="BC288">
        <v>0</v>
      </c>
      <c r="BD288">
        <v>0</v>
      </c>
      <c r="BE288" t="s">
        <v>108</v>
      </c>
      <c r="BF288" t="b">
        <v>0</v>
      </c>
    </row>
    <row r="289" spans="1:58" x14ac:dyDescent="0.3">
      <c r="A289" t="s">
        <v>752</v>
      </c>
      <c r="B289" t="s">
        <v>67</v>
      </c>
      <c r="C289" t="s">
        <v>753</v>
      </c>
      <c r="D289" t="s">
        <v>69</v>
      </c>
      <c r="E289" t="s">
        <v>70</v>
      </c>
      <c r="F289" t="s">
        <v>71</v>
      </c>
      <c r="G289" s="1">
        <v>44230</v>
      </c>
      <c r="H289" s="1">
        <v>45596</v>
      </c>
      <c r="I289" s="1">
        <v>46390</v>
      </c>
      <c r="J289">
        <v>828900</v>
      </c>
      <c r="K289">
        <v>72</v>
      </c>
      <c r="L289">
        <v>28</v>
      </c>
      <c r="M289">
        <v>44</v>
      </c>
      <c r="N289">
        <v>11.79</v>
      </c>
      <c r="O289">
        <v>16114.78</v>
      </c>
      <c r="P289" t="s">
        <v>139</v>
      </c>
      <c r="Q289">
        <v>309133.37</v>
      </c>
      <c r="R289">
        <v>16114.78</v>
      </c>
      <c r="S289">
        <v>16814.34</v>
      </c>
      <c r="T289" s="1">
        <v>45593</v>
      </c>
      <c r="U289" t="s">
        <v>73</v>
      </c>
      <c r="V289">
        <v>0</v>
      </c>
      <c r="W289">
        <v>44</v>
      </c>
      <c r="X289">
        <v>44</v>
      </c>
      <c r="Y289">
        <v>0</v>
      </c>
      <c r="Z289">
        <v>0</v>
      </c>
      <c r="AA289">
        <v>0</v>
      </c>
      <c r="AB289" t="s">
        <v>74</v>
      </c>
      <c r="AC289" t="s">
        <v>188</v>
      </c>
      <c r="AD289">
        <v>2017</v>
      </c>
      <c r="AE289" t="s">
        <v>119</v>
      </c>
      <c r="AF289" t="b">
        <v>0</v>
      </c>
      <c r="AG289">
        <v>1120000</v>
      </c>
      <c r="AH289">
        <v>503232.26</v>
      </c>
      <c r="AI289">
        <v>0.74009999999999998</v>
      </c>
      <c r="AJ289">
        <v>0.58479999999999999</v>
      </c>
      <c r="AK289">
        <v>54</v>
      </c>
      <c r="AL289" t="s">
        <v>120</v>
      </c>
      <c r="AM289">
        <v>4289000</v>
      </c>
      <c r="AN289">
        <v>4.5100000000000001E-2</v>
      </c>
      <c r="AO289">
        <v>681</v>
      </c>
      <c r="AP289">
        <v>678</v>
      </c>
      <c r="AQ289" t="s">
        <v>78</v>
      </c>
      <c r="AR289" t="s">
        <v>79</v>
      </c>
      <c r="AS289">
        <v>1</v>
      </c>
      <c r="AT289">
        <v>1.5100000000000001E-2</v>
      </c>
      <c r="AU289">
        <v>0.56720000000000004</v>
      </c>
      <c r="AV289">
        <v>321688.53999999998</v>
      </c>
      <c r="AW289">
        <v>2755.17</v>
      </c>
      <c r="AX289" t="b">
        <v>0</v>
      </c>
      <c r="AY289" t="b">
        <v>0</v>
      </c>
      <c r="AZ289" t="s">
        <v>80</v>
      </c>
      <c r="BA289">
        <v>0</v>
      </c>
      <c r="BB289">
        <v>0</v>
      </c>
      <c r="BC289">
        <v>0</v>
      </c>
      <c r="BD289">
        <v>0</v>
      </c>
      <c r="BE289" t="s">
        <v>81</v>
      </c>
      <c r="BF289" t="b">
        <v>1</v>
      </c>
    </row>
    <row r="290" spans="1:58" x14ac:dyDescent="0.3">
      <c r="A290" t="s">
        <v>754</v>
      </c>
      <c r="B290" t="s">
        <v>67</v>
      </c>
      <c r="C290" t="s">
        <v>755</v>
      </c>
      <c r="D290" t="s">
        <v>95</v>
      </c>
      <c r="E290" t="s">
        <v>96</v>
      </c>
      <c r="F290" t="s">
        <v>86</v>
      </c>
      <c r="G290" s="1">
        <v>44285</v>
      </c>
      <c r="H290" s="1">
        <v>45596</v>
      </c>
      <c r="I290" s="1">
        <v>46445</v>
      </c>
      <c r="J290">
        <v>482600</v>
      </c>
      <c r="K290">
        <v>72</v>
      </c>
      <c r="L290">
        <v>29</v>
      </c>
      <c r="M290">
        <v>43</v>
      </c>
      <c r="N290">
        <v>9.39</v>
      </c>
      <c r="O290">
        <v>8792.83</v>
      </c>
      <c r="P290" t="s">
        <v>72</v>
      </c>
      <c r="Q290">
        <v>179909.08</v>
      </c>
      <c r="R290">
        <v>8792.83</v>
      </c>
      <c r="S290">
        <v>8663.58</v>
      </c>
      <c r="T290" s="1">
        <v>45581</v>
      </c>
      <c r="U290" t="s">
        <v>73</v>
      </c>
      <c r="V290">
        <v>0</v>
      </c>
      <c r="W290">
        <v>43</v>
      </c>
      <c r="X290">
        <v>43</v>
      </c>
      <c r="Y290">
        <v>0</v>
      </c>
      <c r="Z290">
        <v>0</v>
      </c>
      <c r="AA290">
        <v>0</v>
      </c>
      <c r="AB290" t="s">
        <v>74</v>
      </c>
      <c r="AC290" t="s">
        <v>75</v>
      </c>
      <c r="AD290">
        <v>2021</v>
      </c>
      <c r="AE290" t="s">
        <v>99</v>
      </c>
      <c r="AF290" t="b">
        <v>1</v>
      </c>
      <c r="AG290">
        <v>574000</v>
      </c>
      <c r="AH290">
        <v>286677.26</v>
      </c>
      <c r="AI290">
        <v>0.84079999999999999</v>
      </c>
      <c r="AJ290">
        <v>0.64759999999999995</v>
      </c>
      <c r="AK290">
        <v>62</v>
      </c>
      <c r="AL290" t="s">
        <v>120</v>
      </c>
      <c r="AM290">
        <v>864000</v>
      </c>
      <c r="AN290">
        <v>0.1221</v>
      </c>
      <c r="AO290">
        <v>731</v>
      </c>
      <c r="AP290">
        <v>699</v>
      </c>
      <c r="AQ290" t="s">
        <v>78</v>
      </c>
      <c r="AR290" t="s">
        <v>133</v>
      </c>
      <c r="AS290">
        <v>1</v>
      </c>
      <c r="AT290">
        <v>2.3300000000000001E-2</v>
      </c>
      <c r="AU290">
        <v>0.49480000000000002</v>
      </c>
      <c r="AV290">
        <v>180734.86</v>
      </c>
      <c r="AW290">
        <v>2083.66</v>
      </c>
      <c r="AX290" t="b">
        <v>0</v>
      </c>
      <c r="AY290" t="b">
        <v>0</v>
      </c>
      <c r="AZ290" t="s">
        <v>80</v>
      </c>
      <c r="BA290">
        <v>0</v>
      </c>
      <c r="BB290">
        <v>0</v>
      </c>
      <c r="BC290">
        <v>0</v>
      </c>
      <c r="BD290">
        <v>0</v>
      </c>
      <c r="BE290" t="s">
        <v>108</v>
      </c>
      <c r="BF290" t="b">
        <v>0</v>
      </c>
    </row>
    <row r="291" spans="1:58" x14ac:dyDescent="0.3">
      <c r="A291" t="s">
        <v>756</v>
      </c>
      <c r="B291" t="s">
        <v>67</v>
      </c>
      <c r="C291" t="s">
        <v>757</v>
      </c>
      <c r="D291" t="s">
        <v>69</v>
      </c>
      <c r="E291" t="s">
        <v>70</v>
      </c>
      <c r="F291" t="s">
        <v>86</v>
      </c>
      <c r="G291" s="1">
        <v>44618</v>
      </c>
      <c r="H291" s="1">
        <v>45596</v>
      </c>
      <c r="I291" s="1">
        <v>46778</v>
      </c>
      <c r="J291">
        <v>443200</v>
      </c>
      <c r="K291">
        <v>72</v>
      </c>
      <c r="L291">
        <v>40</v>
      </c>
      <c r="M291">
        <v>32</v>
      </c>
      <c r="N291">
        <v>13.23</v>
      </c>
      <c r="O291">
        <v>8950.73</v>
      </c>
      <c r="P291" t="s">
        <v>72</v>
      </c>
      <c r="Q291">
        <v>228540.42</v>
      </c>
      <c r="R291">
        <v>8950.73</v>
      </c>
      <c r="S291">
        <v>8751.8799999999992</v>
      </c>
      <c r="T291" s="1">
        <v>45586</v>
      </c>
      <c r="U291" t="s">
        <v>73</v>
      </c>
      <c r="V291">
        <v>0</v>
      </c>
      <c r="W291">
        <v>32</v>
      </c>
      <c r="X291">
        <v>32</v>
      </c>
      <c r="Y291">
        <v>0</v>
      </c>
      <c r="Z291">
        <v>0</v>
      </c>
      <c r="AA291">
        <v>0</v>
      </c>
      <c r="AB291" t="s">
        <v>74</v>
      </c>
      <c r="AC291" t="s">
        <v>75</v>
      </c>
      <c r="AD291">
        <v>2022</v>
      </c>
      <c r="AE291" t="s">
        <v>99</v>
      </c>
      <c r="AF291" t="b">
        <v>1</v>
      </c>
      <c r="AG291">
        <v>531000</v>
      </c>
      <c r="AH291">
        <v>339281.37</v>
      </c>
      <c r="AI291">
        <v>0.8347</v>
      </c>
      <c r="AJ291">
        <v>0.69869999999999999</v>
      </c>
      <c r="AK291">
        <v>45</v>
      </c>
      <c r="AL291" t="s">
        <v>77</v>
      </c>
      <c r="AM291">
        <v>4126000</v>
      </c>
      <c r="AN291">
        <v>2.5999999999999999E-2</v>
      </c>
      <c r="AO291">
        <v>844</v>
      </c>
      <c r="AP291">
        <v>861</v>
      </c>
      <c r="AQ291" t="s">
        <v>78</v>
      </c>
      <c r="AR291" t="s">
        <v>133</v>
      </c>
      <c r="AS291">
        <v>1</v>
      </c>
      <c r="AT291">
        <v>1.8599999999999998E-2</v>
      </c>
      <c r="AU291">
        <v>0.48570000000000002</v>
      </c>
      <c r="AV291">
        <v>235630.64</v>
      </c>
      <c r="AW291">
        <v>2128.69</v>
      </c>
      <c r="AX291" t="b">
        <v>0</v>
      </c>
      <c r="AY291" t="b">
        <v>0</v>
      </c>
      <c r="AZ291" t="s">
        <v>80</v>
      </c>
      <c r="BA291">
        <v>0</v>
      </c>
      <c r="BB291">
        <v>0</v>
      </c>
      <c r="BC291">
        <v>0</v>
      </c>
      <c r="BD291">
        <v>0</v>
      </c>
      <c r="BE291" t="s">
        <v>81</v>
      </c>
      <c r="BF291" t="b">
        <v>1</v>
      </c>
    </row>
    <row r="292" spans="1:58" x14ac:dyDescent="0.3">
      <c r="A292" t="s">
        <v>758</v>
      </c>
      <c r="B292" t="s">
        <v>67</v>
      </c>
      <c r="C292" t="s">
        <v>759</v>
      </c>
      <c r="D292" t="s">
        <v>95</v>
      </c>
      <c r="E292" t="s">
        <v>96</v>
      </c>
      <c r="F292" t="s">
        <v>115</v>
      </c>
      <c r="G292" s="1">
        <v>45379</v>
      </c>
      <c r="H292" s="1">
        <v>45596</v>
      </c>
      <c r="I292" s="1">
        <v>47539</v>
      </c>
      <c r="J292">
        <v>672600</v>
      </c>
      <c r="K292">
        <v>72</v>
      </c>
      <c r="L292">
        <v>65</v>
      </c>
      <c r="M292">
        <v>7</v>
      </c>
      <c r="N292">
        <v>8.81</v>
      </c>
      <c r="O292">
        <v>12060.65</v>
      </c>
      <c r="P292" t="s">
        <v>72</v>
      </c>
      <c r="Q292">
        <v>549091.17000000004</v>
      </c>
      <c r="R292">
        <v>12060.65</v>
      </c>
      <c r="S292">
        <v>12174.08</v>
      </c>
      <c r="T292" s="1">
        <v>45563</v>
      </c>
      <c r="U292" t="s">
        <v>73</v>
      </c>
      <c r="V292">
        <v>0</v>
      </c>
      <c r="W292">
        <v>7</v>
      </c>
      <c r="X292">
        <v>7</v>
      </c>
      <c r="Y292">
        <v>0</v>
      </c>
      <c r="Z292">
        <v>0</v>
      </c>
      <c r="AA292">
        <v>0</v>
      </c>
      <c r="AB292" t="s">
        <v>74</v>
      </c>
      <c r="AC292" t="s">
        <v>420</v>
      </c>
      <c r="AD292">
        <v>2024</v>
      </c>
      <c r="AE292" t="s">
        <v>99</v>
      </c>
      <c r="AF292" t="b">
        <v>1</v>
      </c>
      <c r="AG292">
        <v>983000</v>
      </c>
      <c r="AH292">
        <v>919777.86</v>
      </c>
      <c r="AI292">
        <v>0.68420000000000003</v>
      </c>
      <c r="AJ292">
        <v>0.60980000000000001</v>
      </c>
      <c r="AK292">
        <v>55</v>
      </c>
      <c r="AL292" t="s">
        <v>120</v>
      </c>
      <c r="AM292">
        <v>1954000</v>
      </c>
      <c r="AN292">
        <v>7.4099999999999999E-2</v>
      </c>
      <c r="AO292">
        <v>680</v>
      </c>
      <c r="AP292">
        <v>700</v>
      </c>
      <c r="AQ292" t="s">
        <v>145</v>
      </c>
      <c r="AR292" t="s">
        <v>157</v>
      </c>
      <c r="AS292">
        <v>1</v>
      </c>
      <c r="AT292">
        <v>1.46E-2</v>
      </c>
      <c r="AU292">
        <v>0.46479999999999999</v>
      </c>
      <c r="AV292">
        <v>574569.55000000005</v>
      </c>
      <c r="AW292">
        <v>3899.07</v>
      </c>
      <c r="AX292" t="b">
        <v>0</v>
      </c>
      <c r="AY292" t="b">
        <v>0</v>
      </c>
      <c r="AZ292" t="s">
        <v>80</v>
      </c>
      <c r="BA292">
        <v>0</v>
      </c>
      <c r="BB292">
        <v>0</v>
      </c>
      <c r="BC292">
        <v>0</v>
      </c>
      <c r="BD292">
        <v>0</v>
      </c>
      <c r="BE292" t="s">
        <v>81</v>
      </c>
      <c r="BF292" t="b">
        <v>1</v>
      </c>
    </row>
    <row r="293" spans="1:58" x14ac:dyDescent="0.3">
      <c r="A293" t="s">
        <v>760</v>
      </c>
      <c r="B293" t="s">
        <v>67</v>
      </c>
      <c r="C293" t="s">
        <v>761</v>
      </c>
      <c r="D293" t="s">
        <v>69</v>
      </c>
      <c r="E293" t="s">
        <v>70</v>
      </c>
      <c r="F293" t="s">
        <v>86</v>
      </c>
      <c r="G293" s="1">
        <v>45259</v>
      </c>
      <c r="H293" s="1">
        <v>45596</v>
      </c>
      <c r="I293" s="1">
        <v>46339</v>
      </c>
      <c r="J293">
        <v>1315100</v>
      </c>
      <c r="K293">
        <v>36</v>
      </c>
      <c r="L293">
        <v>25</v>
      </c>
      <c r="M293">
        <v>11</v>
      </c>
      <c r="N293">
        <v>13.77</v>
      </c>
      <c r="O293">
        <v>44800.23</v>
      </c>
      <c r="P293" t="s">
        <v>72</v>
      </c>
      <c r="Q293">
        <v>900738.09</v>
      </c>
      <c r="R293">
        <v>44800.23</v>
      </c>
      <c r="S293">
        <v>45347.32</v>
      </c>
      <c r="T293" s="1">
        <v>45577</v>
      </c>
      <c r="U293" t="s">
        <v>73</v>
      </c>
      <c r="V293">
        <v>0</v>
      </c>
      <c r="W293">
        <v>11</v>
      </c>
      <c r="X293">
        <v>11</v>
      </c>
      <c r="Y293">
        <v>0</v>
      </c>
      <c r="Z293">
        <v>0</v>
      </c>
      <c r="AA293">
        <v>0</v>
      </c>
      <c r="AB293" t="s">
        <v>174</v>
      </c>
      <c r="AC293" t="s">
        <v>305</v>
      </c>
      <c r="AD293">
        <v>2023</v>
      </c>
      <c r="AE293" t="s">
        <v>76</v>
      </c>
      <c r="AF293" t="b">
        <v>1</v>
      </c>
      <c r="AG293">
        <v>1943000</v>
      </c>
      <c r="AH293">
        <v>1805445.51</v>
      </c>
      <c r="AI293">
        <v>0.67689999999999995</v>
      </c>
      <c r="AJ293">
        <v>0.53410000000000002</v>
      </c>
      <c r="AK293">
        <v>26</v>
      </c>
      <c r="AL293" t="s">
        <v>132</v>
      </c>
      <c r="AM293">
        <v>2695000</v>
      </c>
      <c r="AN293">
        <v>0.19950000000000001</v>
      </c>
      <c r="AO293">
        <v>829</v>
      </c>
      <c r="AP293">
        <v>830</v>
      </c>
      <c r="AQ293" t="s">
        <v>127</v>
      </c>
      <c r="AR293" t="s">
        <v>215</v>
      </c>
      <c r="AS293">
        <v>1</v>
      </c>
      <c r="AT293">
        <v>2.1600000000000001E-2</v>
      </c>
      <c r="AU293">
        <v>0.56179999999999997</v>
      </c>
      <c r="AV293">
        <v>913707.76</v>
      </c>
      <c r="AW293">
        <v>11087.73</v>
      </c>
      <c r="AX293" t="b">
        <v>0</v>
      </c>
      <c r="AY293" t="b">
        <v>0</v>
      </c>
      <c r="AZ293" t="s">
        <v>80</v>
      </c>
      <c r="BA293">
        <v>0</v>
      </c>
      <c r="BB293">
        <v>0</v>
      </c>
      <c r="BC293">
        <v>0</v>
      </c>
      <c r="BD293">
        <v>24874.720000000001</v>
      </c>
      <c r="BE293" t="s">
        <v>108</v>
      </c>
      <c r="BF293" t="b">
        <v>0</v>
      </c>
    </row>
    <row r="294" spans="1:58" x14ac:dyDescent="0.3">
      <c r="A294" t="s">
        <v>762</v>
      </c>
      <c r="B294" t="s">
        <v>67</v>
      </c>
      <c r="C294" t="s">
        <v>763</v>
      </c>
      <c r="D294" t="s">
        <v>69</v>
      </c>
      <c r="E294" t="s">
        <v>70</v>
      </c>
      <c r="F294" t="s">
        <v>86</v>
      </c>
      <c r="G294" s="1">
        <v>44685</v>
      </c>
      <c r="H294" s="1">
        <v>45596</v>
      </c>
      <c r="I294" s="1">
        <v>46125</v>
      </c>
      <c r="J294">
        <v>788700</v>
      </c>
      <c r="K294">
        <v>48</v>
      </c>
      <c r="L294">
        <v>19</v>
      </c>
      <c r="M294">
        <v>29</v>
      </c>
      <c r="N294">
        <v>14.24</v>
      </c>
      <c r="O294">
        <v>21647.46</v>
      </c>
      <c r="P294" t="s">
        <v>72</v>
      </c>
      <c r="Q294">
        <v>312164</v>
      </c>
      <c r="R294">
        <v>21647.46</v>
      </c>
      <c r="S294">
        <v>22305.31</v>
      </c>
      <c r="T294" s="1">
        <v>45575</v>
      </c>
      <c r="U294" t="s">
        <v>73</v>
      </c>
      <c r="V294">
        <v>0</v>
      </c>
      <c r="W294">
        <v>29</v>
      </c>
      <c r="X294">
        <v>29</v>
      </c>
      <c r="Y294">
        <v>0</v>
      </c>
      <c r="Z294">
        <v>0</v>
      </c>
      <c r="AA294">
        <v>0</v>
      </c>
      <c r="AB294" t="s">
        <v>208</v>
      </c>
      <c r="AC294" t="s">
        <v>651</v>
      </c>
      <c r="AD294">
        <v>2022</v>
      </c>
      <c r="AE294" t="s">
        <v>76</v>
      </c>
      <c r="AF294" t="b">
        <v>1</v>
      </c>
      <c r="AG294">
        <v>862000</v>
      </c>
      <c r="AH294">
        <v>556697.85</v>
      </c>
      <c r="AI294">
        <v>0.91500000000000004</v>
      </c>
      <c r="AJ294">
        <v>0.5554</v>
      </c>
      <c r="AK294">
        <v>45</v>
      </c>
      <c r="AL294" t="s">
        <v>132</v>
      </c>
      <c r="AM294">
        <v>1086000</v>
      </c>
      <c r="AN294">
        <v>0.2392</v>
      </c>
      <c r="AO294">
        <v>669</v>
      </c>
      <c r="AP294">
        <v>640</v>
      </c>
      <c r="AQ294" t="s">
        <v>145</v>
      </c>
      <c r="AR294" t="s">
        <v>203</v>
      </c>
      <c r="AS294">
        <v>1</v>
      </c>
      <c r="AT294">
        <v>2.4E-2</v>
      </c>
      <c r="AU294">
        <v>0.50760000000000005</v>
      </c>
      <c r="AV294">
        <v>314775.33</v>
      </c>
      <c r="AW294">
        <v>3834.72</v>
      </c>
      <c r="AX294" t="b">
        <v>0</v>
      </c>
      <c r="AY294" t="b">
        <v>0</v>
      </c>
      <c r="AZ294" t="s">
        <v>80</v>
      </c>
      <c r="BA294">
        <v>0</v>
      </c>
      <c r="BB294">
        <v>0</v>
      </c>
      <c r="BC294">
        <v>0</v>
      </c>
      <c r="BD294">
        <v>0</v>
      </c>
      <c r="BE294" t="s">
        <v>134</v>
      </c>
      <c r="BF294" t="b">
        <v>1</v>
      </c>
    </row>
    <row r="295" spans="1:58" x14ac:dyDescent="0.3">
      <c r="A295" t="s">
        <v>764</v>
      </c>
      <c r="B295" t="s">
        <v>67</v>
      </c>
      <c r="C295" t="s">
        <v>765</v>
      </c>
      <c r="D295" t="s">
        <v>69</v>
      </c>
      <c r="E295" t="s">
        <v>70</v>
      </c>
      <c r="F295" t="s">
        <v>124</v>
      </c>
      <c r="G295" s="1">
        <v>44915</v>
      </c>
      <c r="H295" s="1">
        <v>45596</v>
      </c>
      <c r="I295" s="1">
        <v>46715</v>
      </c>
      <c r="J295">
        <v>1078900</v>
      </c>
      <c r="K295">
        <v>60</v>
      </c>
      <c r="L295">
        <v>38</v>
      </c>
      <c r="M295">
        <v>22</v>
      </c>
      <c r="N295">
        <v>9.61</v>
      </c>
      <c r="O295">
        <v>22716.95</v>
      </c>
      <c r="P295" t="s">
        <v>72</v>
      </c>
      <c r="Q295">
        <v>649179.73</v>
      </c>
      <c r="R295">
        <v>22716.95</v>
      </c>
      <c r="S295">
        <v>8164.82</v>
      </c>
      <c r="T295" s="1">
        <v>45563</v>
      </c>
      <c r="U295" t="s">
        <v>140</v>
      </c>
      <c r="V295">
        <v>211</v>
      </c>
      <c r="W295">
        <v>22</v>
      </c>
      <c r="X295">
        <v>19</v>
      </c>
      <c r="Y295">
        <v>3</v>
      </c>
      <c r="Z295">
        <v>1</v>
      </c>
      <c r="AA295">
        <v>0</v>
      </c>
      <c r="AB295" t="s">
        <v>97</v>
      </c>
      <c r="AC295" t="s">
        <v>152</v>
      </c>
      <c r="AD295">
        <v>2022</v>
      </c>
      <c r="AE295" t="s">
        <v>119</v>
      </c>
      <c r="AF295" t="b">
        <v>1</v>
      </c>
      <c r="AG295">
        <v>1784000</v>
      </c>
      <c r="AH295">
        <v>1227664.8999999999</v>
      </c>
      <c r="AI295">
        <v>0.60470000000000002</v>
      </c>
      <c r="AJ295">
        <v>0.49440000000000001</v>
      </c>
      <c r="AK295">
        <v>61</v>
      </c>
      <c r="AL295" t="s">
        <v>120</v>
      </c>
      <c r="AM295">
        <v>830000</v>
      </c>
      <c r="AN295">
        <v>0.32840000000000003</v>
      </c>
      <c r="AO295">
        <v>825</v>
      </c>
      <c r="AP295">
        <v>841</v>
      </c>
      <c r="AQ295" t="s">
        <v>145</v>
      </c>
      <c r="AR295" t="s">
        <v>176</v>
      </c>
      <c r="AS295">
        <v>3</v>
      </c>
      <c r="AT295">
        <v>0.92079999999999995</v>
      </c>
      <c r="AU295">
        <v>0.63959999999999995</v>
      </c>
      <c r="AV295">
        <v>677650.94</v>
      </c>
      <c r="AW295">
        <v>399098.24</v>
      </c>
      <c r="AX295" t="b">
        <v>0</v>
      </c>
      <c r="AY295" t="b">
        <v>0</v>
      </c>
      <c r="AZ295" t="s">
        <v>80</v>
      </c>
      <c r="BA295">
        <v>0</v>
      </c>
      <c r="BB295">
        <v>0</v>
      </c>
      <c r="BC295">
        <v>0</v>
      </c>
      <c r="BD295">
        <v>0</v>
      </c>
      <c r="BE295" t="s">
        <v>108</v>
      </c>
      <c r="BF295" t="b">
        <v>0</v>
      </c>
    </row>
    <row r="296" spans="1:58" x14ac:dyDescent="0.3">
      <c r="A296" t="s">
        <v>766</v>
      </c>
      <c r="B296" t="s">
        <v>67</v>
      </c>
      <c r="C296" t="s">
        <v>767</v>
      </c>
      <c r="D296" t="s">
        <v>84</v>
      </c>
      <c r="E296" t="s">
        <v>85</v>
      </c>
      <c r="F296" t="s">
        <v>71</v>
      </c>
      <c r="G296" s="1">
        <v>44911</v>
      </c>
      <c r="H296" s="1">
        <v>45596</v>
      </c>
      <c r="I296" s="1">
        <v>47431</v>
      </c>
      <c r="J296">
        <v>1004500</v>
      </c>
      <c r="K296">
        <v>84</v>
      </c>
      <c r="L296">
        <v>62</v>
      </c>
      <c r="M296">
        <v>22</v>
      </c>
      <c r="N296">
        <v>12.41</v>
      </c>
      <c r="O296">
        <v>17953.169999999998</v>
      </c>
      <c r="P296" t="s">
        <v>72</v>
      </c>
      <c r="Q296">
        <v>760045.31</v>
      </c>
      <c r="R296">
        <v>17953.169999999998</v>
      </c>
      <c r="S296">
        <v>17277.12</v>
      </c>
      <c r="T296" s="1">
        <v>45565</v>
      </c>
      <c r="U296" t="s">
        <v>73</v>
      </c>
      <c r="V296">
        <v>0</v>
      </c>
      <c r="W296">
        <v>22</v>
      </c>
      <c r="X296">
        <v>22</v>
      </c>
      <c r="Y296">
        <v>0</v>
      </c>
      <c r="Z296">
        <v>0</v>
      </c>
      <c r="AA296">
        <v>0</v>
      </c>
      <c r="AB296" t="s">
        <v>111</v>
      </c>
      <c r="AC296" t="s">
        <v>197</v>
      </c>
      <c r="AD296">
        <v>2022</v>
      </c>
      <c r="AE296" t="s">
        <v>119</v>
      </c>
      <c r="AF296" t="b">
        <v>1</v>
      </c>
      <c r="AG296">
        <v>1635000</v>
      </c>
      <c r="AH296">
        <v>1156626.67</v>
      </c>
      <c r="AI296">
        <v>0.61439999999999995</v>
      </c>
      <c r="AJ296">
        <v>0.63160000000000005</v>
      </c>
      <c r="AK296">
        <v>50</v>
      </c>
      <c r="AL296" t="s">
        <v>120</v>
      </c>
      <c r="AM296">
        <v>2963000</v>
      </c>
      <c r="AN296">
        <v>7.2700000000000001E-2</v>
      </c>
      <c r="AO296">
        <v>738</v>
      </c>
      <c r="AP296">
        <v>724</v>
      </c>
      <c r="AQ296" t="s">
        <v>145</v>
      </c>
      <c r="AR296" t="s">
        <v>146</v>
      </c>
      <c r="AS296">
        <v>1</v>
      </c>
      <c r="AT296">
        <v>1.7600000000000001E-2</v>
      </c>
      <c r="AU296">
        <v>0.4365</v>
      </c>
      <c r="AV296">
        <v>790438.95</v>
      </c>
      <c r="AW296">
        <v>6072.47</v>
      </c>
      <c r="AX296" t="b">
        <v>0</v>
      </c>
      <c r="AY296" t="b">
        <v>0</v>
      </c>
      <c r="AZ296" t="s">
        <v>80</v>
      </c>
      <c r="BA296">
        <v>0</v>
      </c>
      <c r="BB296">
        <v>0</v>
      </c>
      <c r="BC296">
        <v>0</v>
      </c>
      <c r="BD296">
        <v>2205.71</v>
      </c>
      <c r="BE296" t="s">
        <v>108</v>
      </c>
      <c r="BF296" t="b">
        <v>1</v>
      </c>
    </row>
    <row r="297" spans="1:58" x14ac:dyDescent="0.3">
      <c r="A297" t="s">
        <v>768</v>
      </c>
      <c r="B297" t="s">
        <v>67</v>
      </c>
      <c r="C297" t="s">
        <v>769</v>
      </c>
      <c r="D297" t="s">
        <v>69</v>
      </c>
      <c r="E297" t="s">
        <v>70</v>
      </c>
      <c r="F297" t="s">
        <v>86</v>
      </c>
      <c r="G297" s="1">
        <v>45078</v>
      </c>
      <c r="H297" s="1">
        <v>45596</v>
      </c>
      <c r="I297" s="1">
        <v>46158</v>
      </c>
      <c r="J297">
        <v>1810500</v>
      </c>
      <c r="K297">
        <v>36</v>
      </c>
      <c r="L297">
        <v>20</v>
      </c>
      <c r="M297">
        <v>16</v>
      </c>
      <c r="N297">
        <v>12.49</v>
      </c>
      <c r="O297">
        <v>60559.11</v>
      </c>
      <c r="P297" t="s">
        <v>116</v>
      </c>
      <c r="Q297">
        <v>926771.45</v>
      </c>
      <c r="R297">
        <v>60559.11</v>
      </c>
      <c r="S297">
        <v>62402.41</v>
      </c>
      <c r="T297" s="1">
        <v>45588</v>
      </c>
      <c r="U297" t="s">
        <v>73</v>
      </c>
      <c r="V297">
        <v>0</v>
      </c>
      <c r="W297">
        <v>16</v>
      </c>
      <c r="X297">
        <v>16</v>
      </c>
      <c r="Y297">
        <v>0</v>
      </c>
      <c r="Z297">
        <v>0</v>
      </c>
      <c r="AA297">
        <v>0</v>
      </c>
      <c r="AB297" t="s">
        <v>111</v>
      </c>
      <c r="AC297" t="s">
        <v>251</v>
      </c>
      <c r="AD297">
        <v>2021</v>
      </c>
      <c r="AE297" t="s">
        <v>119</v>
      </c>
      <c r="AF297" t="b">
        <v>0</v>
      </c>
      <c r="AG297">
        <v>2334000</v>
      </c>
      <c r="AH297">
        <v>1955016.06</v>
      </c>
      <c r="AI297">
        <v>0.77569999999999995</v>
      </c>
      <c r="AJ297">
        <v>0.4914</v>
      </c>
      <c r="AK297">
        <v>35</v>
      </c>
      <c r="AL297" t="s">
        <v>120</v>
      </c>
      <c r="AM297">
        <v>3051000</v>
      </c>
      <c r="AN297">
        <v>0.2382</v>
      </c>
      <c r="AO297">
        <v>670</v>
      </c>
      <c r="AP297">
        <v>657</v>
      </c>
      <c r="AQ297" t="s">
        <v>100</v>
      </c>
      <c r="AR297" t="s">
        <v>121</v>
      </c>
      <c r="AS297">
        <v>1</v>
      </c>
      <c r="AT297">
        <v>2.5000000000000001E-2</v>
      </c>
      <c r="AU297">
        <v>0.52910000000000001</v>
      </c>
      <c r="AV297">
        <v>934802.02</v>
      </c>
      <c r="AW297">
        <v>12365.09</v>
      </c>
      <c r="AX297" t="b">
        <v>0</v>
      </c>
      <c r="AY297" t="b">
        <v>0</v>
      </c>
      <c r="AZ297" t="s">
        <v>80</v>
      </c>
      <c r="BA297">
        <v>0</v>
      </c>
      <c r="BB297">
        <v>0</v>
      </c>
      <c r="BC297">
        <v>0</v>
      </c>
      <c r="BD297">
        <v>0</v>
      </c>
      <c r="BE297" t="s">
        <v>108</v>
      </c>
      <c r="BF297" t="b">
        <v>0</v>
      </c>
    </row>
    <row r="298" spans="1:58" x14ac:dyDescent="0.3">
      <c r="A298" t="s">
        <v>770</v>
      </c>
      <c r="B298" t="s">
        <v>67</v>
      </c>
      <c r="C298" t="s">
        <v>771</v>
      </c>
      <c r="D298" t="s">
        <v>69</v>
      </c>
      <c r="E298" t="s">
        <v>70</v>
      </c>
      <c r="F298" t="s">
        <v>71</v>
      </c>
      <c r="G298" s="1">
        <v>44605</v>
      </c>
      <c r="H298" s="1">
        <v>45596</v>
      </c>
      <c r="I298" s="1">
        <v>47125</v>
      </c>
      <c r="J298">
        <v>643200</v>
      </c>
      <c r="K298">
        <v>84</v>
      </c>
      <c r="L298">
        <v>52</v>
      </c>
      <c r="M298">
        <v>32</v>
      </c>
      <c r="N298">
        <v>13.99</v>
      </c>
      <c r="O298">
        <v>12050.02</v>
      </c>
      <c r="P298" t="s">
        <v>72</v>
      </c>
      <c r="Q298">
        <v>385897.06</v>
      </c>
      <c r="R298">
        <v>12050.02</v>
      </c>
      <c r="S298">
        <v>8675.17</v>
      </c>
      <c r="T298" s="1">
        <v>45578</v>
      </c>
      <c r="U298" t="s">
        <v>131</v>
      </c>
      <c r="V298">
        <v>74</v>
      </c>
      <c r="W298">
        <v>32</v>
      </c>
      <c r="X298">
        <v>27</v>
      </c>
      <c r="Y298">
        <v>3</v>
      </c>
      <c r="Z298">
        <v>0</v>
      </c>
      <c r="AA298">
        <v>2</v>
      </c>
      <c r="AB298" t="s">
        <v>88</v>
      </c>
      <c r="AC298" t="s">
        <v>89</v>
      </c>
      <c r="AD298">
        <v>2022</v>
      </c>
      <c r="AE298" t="s">
        <v>76</v>
      </c>
      <c r="AF298" t="b">
        <v>1</v>
      </c>
      <c r="AG298">
        <v>1021000</v>
      </c>
      <c r="AH298">
        <v>572776.55000000005</v>
      </c>
      <c r="AI298">
        <v>0.63</v>
      </c>
      <c r="AJ298">
        <v>0.61360000000000003</v>
      </c>
      <c r="AK298">
        <v>48</v>
      </c>
      <c r="AL298" t="s">
        <v>120</v>
      </c>
      <c r="AM298">
        <v>751000</v>
      </c>
      <c r="AN298">
        <v>0.1925</v>
      </c>
      <c r="AO298">
        <v>784</v>
      </c>
      <c r="AP298">
        <v>790</v>
      </c>
      <c r="AQ298" t="s">
        <v>91</v>
      </c>
      <c r="AR298" t="s">
        <v>252</v>
      </c>
      <c r="AS298">
        <v>2</v>
      </c>
      <c r="AT298">
        <v>0.1283</v>
      </c>
      <c r="AU298">
        <v>0.44069999999999998</v>
      </c>
      <c r="AV298">
        <v>390578.87</v>
      </c>
      <c r="AW298">
        <v>22084.04</v>
      </c>
      <c r="AX298" t="b">
        <v>0</v>
      </c>
      <c r="AY298" t="b">
        <v>1</v>
      </c>
      <c r="AZ298" t="s">
        <v>225</v>
      </c>
      <c r="BA298">
        <v>0</v>
      </c>
      <c r="BB298">
        <v>0</v>
      </c>
      <c r="BC298">
        <v>0</v>
      </c>
      <c r="BD298">
        <v>0</v>
      </c>
      <c r="BE298" t="s">
        <v>108</v>
      </c>
      <c r="BF298" t="b">
        <v>1</v>
      </c>
    </row>
    <row r="299" spans="1:58" x14ac:dyDescent="0.3">
      <c r="A299" t="s">
        <v>772</v>
      </c>
      <c r="B299" t="s">
        <v>67</v>
      </c>
      <c r="C299" t="s">
        <v>773</v>
      </c>
      <c r="D299" t="s">
        <v>69</v>
      </c>
      <c r="E299" t="s">
        <v>70</v>
      </c>
      <c r="F299" t="s">
        <v>124</v>
      </c>
      <c r="G299" s="1">
        <v>45001</v>
      </c>
      <c r="H299" s="1">
        <v>45596</v>
      </c>
      <c r="I299" s="1">
        <v>47161</v>
      </c>
      <c r="J299">
        <v>2700500</v>
      </c>
      <c r="K299">
        <v>72</v>
      </c>
      <c r="L299">
        <v>53</v>
      </c>
      <c r="M299">
        <v>19</v>
      </c>
      <c r="N299">
        <v>13.37</v>
      </c>
      <c r="O299">
        <v>54738.9</v>
      </c>
      <c r="P299" t="s">
        <v>72</v>
      </c>
      <c r="Q299">
        <v>1814324.92</v>
      </c>
      <c r="R299">
        <v>54738.9</v>
      </c>
      <c r="S299">
        <v>57416.5</v>
      </c>
      <c r="T299" s="1">
        <v>45596</v>
      </c>
      <c r="U299" t="s">
        <v>73</v>
      </c>
      <c r="V299">
        <v>0</v>
      </c>
      <c r="W299">
        <v>19</v>
      </c>
      <c r="X299">
        <v>19</v>
      </c>
      <c r="Y299">
        <v>0</v>
      </c>
      <c r="Z299">
        <v>0</v>
      </c>
      <c r="AA299">
        <v>0</v>
      </c>
      <c r="AB299" t="s">
        <v>208</v>
      </c>
      <c r="AC299" t="s">
        <v>636</v>
      </c>
      <c r="AD299">
        <v>2023</v>
      </c>
      <c r="AE299" t="s">
        <v>166</v>
      </c>
      <c r="AF299" t="b">
        <v>1</v>
      </c>
      <c r="AG299">
        <v>2980000</v>
      </c>
      <c r="AH299">
        <v>2441177.98</v>
      </c>
      <c r="AI299">
        <v>0.90620000000000001</v>
      </c>
      <c r="AJ299">
        <v>0.78859999999999997</v>
      </c>
      <c r="AK299">
        <v>29</v>
      </c>
      <c r="AL299" t="s">
        <v>106</v>
      </c>
      <c r="AM299">
        <v>4217000</v>
      </c>
      <c r="AN299">
        <v>0.15579999999999999</v>
      </c>
      <c r="AO299">
        <v>794</v>
      </c>
      <c r="AP299">
        <v>805</v>
      </c>
      <c r="AQ299" t="s">
        <v>91</v>
      </c>
      <c r="AR299" t="s">
        <v>92</v>
      </c>
      <c r="AS299">
        <v>1</v>
      </c>
      <c r="AT299">
        <v>1.5599999999999999E-2</v>
      </c>
      <c r="AU299">
        <v>0.61850000000000005</v>
      </c>
      <c r="AV299">
        <v>1872353.21</v>
      </c>
      <c r="AW299">
        <v>18065.59</v>
      </c>
      <c r="AX299" t="b">
        <v>0</v>
      </c>
      <c r="AY299" t="b">
        <v>0</v>
      </c>
      <c r="AZ299" t="s">
        <v>80</v>
      </c>
      <c r="BA299">
        <v>0</v>
      </c>
      <c r="BB299">
        <v>0</v>
      </c>
      <c r="BC299">
        <v>0</v>
      </c>
      <c r="BD299">
        <v>0</v>
      </c>
      <c r="BE299" t="s">
        <v>108</v>
      </c>
      <c r="BF299" t="b">
        <v>1</v>
      </c>
    </row>
    <row r="300" spans="1:58" x14ac:dyDescent="0.3">
      <c r="A300" t="s">
        <v>774</v>
      </c>
      <c r="B300" t="s">
        <v>67</v>
      </c>
      <c r="C300" t="s">
        <v>775</v>
      </c>
      <c r="D300" t="s">
        <v>69</v>
      </c>
      <c r="E300" t="s">
        <v>70</v>
      </c>
      <c r="F300" t="s">
        <v>71</v>
      </c>
      <c r="G300" s="1">
        <v>45474</v>
      </c>
      <c r="H300" s="1">
        <v>45596</v>
      </c>
      <c r="I300" s="1">
        <v>47634</v>
      </c>
      <c r="J300">
        <v>751100</v>
      </c>
      <c r="K300">
        <v>72</v>
      </c>
      <c r="L300">
        <v>69</v>
      </c>
      <c r="M300">
        <v>3</v>
      </c>
      <c r="N300">
        <v>7.67</v>
      </c>
      <c r="O300">
        <v>13048.52</v>
      </c>
      <c r="P300" t="s">
        <v>116</v>
      </c>
      <c r="Q300">
        <v>702435.78</v>
      </c>
      <c r="R300">
        <v>13048.52</v>
      </c>
      <c r="S300">
        <v>5015.5</v>
      </c>
      <c r="T300" s="1">
        <v>45578</v>
      </c>
      <c r="U300" t="s">
        <v>87</v>
      </c>
      <c r="V300">
        <v>22</v>
      </c>
      <c r="W300">
        <v>3</v>
      </c>
      <c r="X300">
        <v>2</v>
      </c>
      <c r="Y300">
        <v>1</v>
      </c>
      <c r="Z300">
        <v>0</v>
      </c>
      <c r="AA300">
        <v>0</v>
      </c>
      <c r="AB300" t="s">
        <v>125</v>
      </c>
      <c r="AC300" t="s">
        <v>126</v>
      </c>
      <c r="AD300">
        <v>2022</v>
      </c>
      <c r="AE300" t="s">
        <v>90</v>
      </c>
      <c r="AF300" t="b">
        <v>0</v>
      </c>
      <c r="AG300">
        <v>1094000</v>
      </c>
      <c r="AH300">
        <v>1089953.1299999999</v>
      </c>
      <c r="AI300">
        <v>0.6865</v>
      </c>
      <c r="AJ300">
        <v>0.66610000000000003</v>
      </c>
      <c r="AK300">
        <v>25</v>
      </c>
      <c r="AL300" t="s">
        <v>132</v>
      </c>
      <c r="AM300">
        <v>1658000</v>
      </c>
      <c r="AN300">
        <v>9.4399999999999998E-2</v>
      </c>
      <c r="AO300">
        <v>697</v>
      </c>
      <c r="AP300">
        <v>677</v>
      </c>
      <c r="AQ300" t="s">
        <v>78</v>
      </c>
      <c r="AR300" t="s">
        <v>133</v>
      </c>
      <c r="AS300">
        <v>1</v>
      </c>
      <c r="AT300">
        <v>2.3800000000000002E-2</v>
      </c>
      <c r="AU300">
        <v>0.54720000000000002</v>
      </c>
      <c r="AV300">
        <v>708433.72</v>
      </c>
      <c r="AW300">
        <v>9226.19</v>
      </c>
      <c r="AX300" t="b">
        <v>0</v>
      </c>
      <c r="AY300" t="b">
        <v>0</v>
      </c>
      <c r="AZ300" t="s">
        <v>80</v>
      </c>
      <c r="BA300">
        <v>0</v>
      </c>
      <c r="BB300">
        <v>0</v>
      </c>
      <c r="BC300">
        <v>0</v>
      </c>
      <c r="BD300">
        <v>0</v>
      </c>
      <c r="BE300" t="s">
        <v>134</v>
      </c>
      <c r="BF300" t="b">
        <v>1</v>
      </c>
    </row>
    <row r="301" spans="1:58" x14ac:dyDescent="0.3">
      <c r="A301" t="s">
        <v>776</v>
      </c>
      <c r="B301" t="s">
        <v>67</v>
      </c>
      <c r="C301" t="s">
        <v>777</v>
      </c>
      <c r="D301" t="s">
        <v>95</v>
      </c>
      <c r="E301" t="s">
        <v>96</v>
      </c>
      <c r="F301" t="s">
        <v>124</v>
      </c>
      <c r="G301" s="1">
        <v>45402</v>
      </c>
      <c r="H301" s="1">
        <v>45596</v>
      </c>
      <c r="I301" s="1">
        <v>47562</v>
      </c>
      <c r="J301">
        <v>1620900</v>
      </c>
      <c r="K301">
        <v>72</v>
      </c>
      <c r="L301">
        <v>66</v>
      </c>
      <c r="M301">
        <v>6</v>
      </c>
      <c r="N301">
        <v>10.42</v>
      </c>
      <c r="O301">
        <v>30372.97</v>
      </c>
      <c r="P301" t="s">
        <v>72</v>
      </c>
      <c r="Q301">
        <v>1431926.61</v>
      </c>
      <c r="R301">
        <v>30372.97</v>
      </c>
      <c r="S301">
        <v>31595.64</v>
      </c>
      <c r="T301" s="1">
        <v>45563</v>
      </c>
      <c r="U301" t="s">
        <v>73</v>
      </c>
      <c r="V301">
        <v>0</v>
      </c>
      <c r="W301">
        <v>6</v>
      </c>
      <c r="X301">
        <v>6</v>
      </c>
      <c r="Y301">
        <v>0</v>
      </c>
      <c r="Z301">
        <v>0</v>
      </c>
      <c r="AA301">
        <v>0</v>
      </c>
      <c r="AB301" t="s">
        <v>164</v>
      </c>
      <c r="AC301" t="s">
        <v>165</v>
      </c>
      <c r="AD301">
        <v>2024</v>
      </c>
      <c r="AE301" t="s">
        <v>166</v>
      </c>
      <c r="AF301" t="b">
        <v>1</v>
      </c>
      <c r="AG301">
        <v>1842000</v>
      </c>
      <c r="AH301">
        <v>1671983.17</v>
      </c>
      <c r="AI301">
        <v>0.87990000000000002</v>
      </c>
      <c r="AJ301">
        <v>0.8377</v>
      </c>
      <c r="AK301">
        <v>40</v>
      </c>
      <c r="AL301" t="s">
        <v>120</v>
      </c>
      <c r="AM301">
        <v>865000</v>
      </c>
      <c r="AN301">
        <v>0.4214</v>
      </c>
      <c r="AO301">
        <v>749</v>
      </c>
      <c r="AP301">
        <v>700</v>
      </c>
      <c r="AQ301" t="s">
        <v>78</v>
      </c>
      <c r="AR301" t="s">
        <v>133</v>
      </c>
      <c r="AS301">
        <v>1</v>
      </c>
      <c r="AT301">
        <v>1.7299999999999999E-2</v>
      </c>
      <c r="AU301">
        <v>0.64449999999999996</v>
      </c>
      <c r="AV301">
        <v>1457540.03</v>
      </c>
      <c r="AW301">
        <v>16251.35</v>
      </c>
      <c r="AX301" t="b">
        <v>0</v>
      </c>
      <c r="AY301" t="b">
        <v>0</v>
      </c>
      <c r="AZ301" t="s">
        <v>80</v>
      </c>
      <c r="BA301">
        <v>0</v>
      </c>
      <c r="BB301">
        <v>0</v>
      </c>
      <c r="BC301">
        <v>0</v>
      </c>
      <c r="BD301">
        <v>0</v>
      </c>
      <c r="BE301" t="s">
        <v>134</v>
      </c>
      <c r="BF301" t="b">
        <v>1</v>
      </c>
    </row>
    <row r="302" spans="1:58" x14ac:dyDescent="0.3">
      <c r="A302" t="s">
        <v>778</v>
      </c>
      <c r="B302" t="s">
        <v>67</v>
      </c>
      <c r="C302" t="s">
        <v>779</v>
      </c>
      <c r="D302" t="s">
        <v>84</v>
      </c>
      <c r="E302" t="s">
        <v>85</v>
      </c>
      <c r="F302" t="s">
        <v>86</v>
      </c>
      <c r="G302" s="1">
        <v>44325</v>
      </c>
      <c r="H302" s="1">
        <v>45596</v>
      </c>
      <c r="I302" s="1">
        <v>45765</v>
      </c>
      <c r="J302">
        <v>912400</v>
      </c>
      <c r="K302">
        <v>48</v>
      </c>
      <c r="L302">
        <v>7</v>
      </c>
      <c r="M302">
        <v>41</v>
      </c>
      <c r="N302">
        <v>9.4499999999999993</v>
      </c>
      <c r="O302">
        <v>22900.57</v>
      </c>
      <c r="P302" t="s">
        <v>72</v>
      </c>
      <c r="Q302">
        <v>134973.19</v>
      </c>
      <c r="R302">
        <v>22900.57</v>
      </c>
      <c r="S302">
        <v>21998.79</v>
      </c>
      <c r="T302" s="1">
        <v>45566</v>
      </c>
      <c r="U302" t="s">
        <v>73</v>
      </c>
      <c r="V302">
        <v>0</v>
      </c>
      <c r="W302">
        <v>41</v>
      </c>
      <c r="X302">
        <v>41</v>
      </c>
      <c r="Y302">
        <v>0</v>
      </c>
      <c r="Z302">
        <v>0</v>
      </c>
      <c r="AA302">
        <v>0</v>
      </c>
      <c r="AB302" t="s">
        <v>208</v>
      </c>
      <c r="AC302" t="s">
        <v>405</v>
      </c>
      <c r="AD302">
        <v>2021</v>
      </c>
      <c r="AE302" t="s">
        <v>90</v>
      </c>
      <c r="AF302" t="b">
        <v>1</v>
      </c>
      <c r="AG302">
        <v>1073000</v>
      </c>
      <c r="AH302">
        <v>525859.91</v>
      </c>
      <c r="AI302">
        <v>0.85029999999999994</v>
      </c>
      <c r="AJ302">
        <v>0.24759999999999999</v>
      </c>
      <c r="AK302">
        <v>50</v>
      </c>
      <c r="AL302" t="s">
        <v>132</v>
      </c>
      <c r="AM302">
        <v>2077000</v>
      </c>
      <c r="AN302">
        <v>0.1323</v>
      </c>
      <c r="AO302">
        <v>746</v>
      </c>
      <c r="AP302">
        <v>756</v>
      </c>
      <c r="AQ302" t="s">
        <v>78</v>
      </c>
      <c r="AR302" t="s">
        <v>79</v>
      </c>
      <c r="AS302">
        <v>1</v>
      </c>
      <c r="AT302">
        <v>2.1000000000000001E-2</v>
      </c>
      <c r="AU302">
        <v>0.59899999999999998</v>
      </c>
      <c r="AV302">
        <v>135429.20000000001</v>
      </c>
      <c r="AW302">
        <v>1703.56</v>
      </c>
      <c r="AX302" t="b">
        <v>0</v>
      </c>
      <c r="AY302" t="b">
        <v>0</v>
      </c>
      <c r="AZ302" t="s">
        <v>80</v>
      </c>
      <c r="BA302">
        <v>0</v>
      </c>
      <c r="BB302">
        <v>0</v>
      </c>
      <c r="BC302">
        <v>0</v>
      </c>
      <c r="BD302">
        <v>50349.94</v>
      </c>
      <c r="BE302" t="s">
        <v>108</v>
      </c>
      <c r="BF302" t="b">
        <v>1</v>
      </c>
    </row>
    <row r="303" spans="1:58" x14ac:dyDescent="0.3">
      <c r="A303" t="s">
        <v>780</v>
      </c>
      <c r="B303" t="s">
        <v>67</v>
      </c>
      <c r="C303" t="s">
        <v>781</v>
      </c>
      <c r="D303" t="s">
        <v>84</v>
      </c>
      <c r="E303" t="s">
        <v>85</v>
      </c>
      <c r="F303" t="s">
        <v>86</v>
      </c>
      <c r="G303" s="1">
        <v>44671</v>
      </c>
      <c r="H303" s="1">
        <v>45596</v>
      </c>
      <c r="I303" s="1">
        <v>46831</v>
      </c>
      <c r="J303">
        <v>1189000</v>
      </c>
      <c r="K303">
        <v>72</v>
      </c>
      <c r="L303">
        <v>42</v>
      </c>
      <c r="M303">
        <v>30</v>
      </c>
      <c r="N303">
        <v>13.96</v>
      </c>
      <c r="O303">
        <v>24474.76</v>
      </c>
      <c r="P303" t="s">
        <v>72</v>
      </c>
      <c r="Q303">
        <v>630667.68999999994</v>
      </c>
      <c r="R303">
        <v>24474.76</v>
      </c>
      <c r="S303">
        <v>1684.22</v>
      </c>
      <c r="T303" s="1">
        <v>45595</v>
      </c>
      <c r="U303" t="s">
        <v>131</v>
      </c>
      <c r="V303">
        <v>82</v>
      </c>
      <c r="W303">
        <v>30</v>
      </c>
      <c r="X303">
        <v>24</v>
      </c>
      <c r="Y303">
        <v>1</v>
      </c>
      <c r="Z303">
        <v>0</v>
      </c>
      <c r="AA303">
        <v>1</v>
      </c>
      <c r="AB303" t="s">
        <v>125</v>
      </c>
      <c r="AC303" t="s">
        <v>126</v>
      </c>
      <c r="AD303">
        <v>2022</v>
      </c>
      <c r="AE303" t="s">
        <v>76</v>
      </c>
      <c r="AF303" t="b">
        <v>1</v>
      </c>
      <c r="AG303">
        <v>1619000</v>
      </c>
      <c r="AH303">
        <v>1062916.8999999999</v>
      </c>
      <c r="AI303">
        <v>0.73440000000000005</v>
      </c>
      <c r="AJ303">
        <v>0.60870000000000002</v>
      </c>
      <c r="AK303">
        <v>31</v>
      </c>
      <c r="AL303" t="s">
        <v>132</v>
      </c>
      <c r="AM303">
        <v>589000</v>
      </c>
      <c r="AN303">
        <v>0.49859999999999999</v>
      </c>
      <c r="AO303">
        <v>845</v>
      </c>
      <c r="AP303">
        <v>842</v>
      </c>
      <c r="AQ303" t="s">
        <v>78</v>
      </c>
      <c r="AR303" t="s">
        <v>79</v>
      </c>
      <c r="AS303">
        <v>2</v>
      </c>
      <c r="AT303">
        <v>0.1002</v>
      </c>
      <c r="AU303">
        <v>0.5726</v>
      </c>
      <c r="AV303">
        <v>644355.17000000004</v>
      </c>
      <c r="AW303">
        <v>36969.57</v>
      </c>
      <c r="AX303" t="b">
        <v>0</v>
      </c>
      <c r="AY303" t="b">
        <v>0</v>
      </c>
      <c r="AZ303" t="s">
        <v>80</v>
      </c>
      <c r="BA303">
        <v>0</v>
      </c>
      <c r="BB303">
        <v>0</v>
      </c>
      <c r="BC303">
        <v>0</v>
      </c>
      <c r="BD303">
        <v>0</v>
      </c>
      <c r="BE303" t="s">
        <v>108</v>
      </c>
      <c r="BF303" t="b">
        <v>0</v>
      </c>
    </row>
    <row r="304" spans="1:58" x14ac:dyDescent="0.3">
      <c r="A304" t="s">
        <v>782</v>
      </c>
      <c r="B304" t="s">
        <v>67</v>
      </c>
      <c r="C304" t="s">
        <v>783</v>
      </c>
      <c r="D304" t="s">
        <v>95</v>
      </c>
      <c r="E304" t="s">
        <v>96</v>
      </c>
      <c r="F304" t="s">
        <v>115</v>
      </c>
      <c r="G304" s="1">
        <v>44394</v>
      </c>
      <c r="H304" s="1">
        <v>45596</v>
      </c>
      <c r="I304" s="1">
        <v>46914</v>
      </c>
      <c r="J304">
        <v>487300</v>
      </c>
      <c r="K304">
        <v>84</v>
      </c>
      <c r="L304">
        <v>45</v>
      </c>
      <c r="M304">
        <v>39</v>
      </c>
      <c r="N304">
        <v>13.55</v>
      </c>
      <c r="O304">
        <v>9011.2999999999993</v>
      </c>
      <c r="P304" t="s">
        <v>72</v>
      </c>
      <c r="Q304">
        <v>248289.8</v>
      </c>
      <c r="R304">
        <v>9011.2999999999993</v>
      </c>
      <c r="S304">
        <v>9102.76</v>
      </c>
      <c r="T304" s="1">
        <v>45575</v>
      </c>
      <c r="U304" t="s">
        <v>73</v>
      </c>
      <c r="V304">
        <v>0</v>
      </c>
      <c r="W304">
        <v>39</v>
      </c>
      <c r="X304">
        <v>39</v>
      </c>
      <c r="Y304">
        <v>0</v>
      </c>
      <c r="Z304">
        <v>0</v>
      </c>
      <c r="AA304">
        <v>0</v>
      </c>
      <c r="AB304" t="s">
        <v>125</v>
      </c>
      <c r="AC304" t="s">
        <v>126</v>
      </c>
      <c r="AD304">
        <v>2021</v>
      </c>
      <c r="AE304" t="s">
        <v>99</v>
      </c>
      <c r="AF304" t="b">
        <v>1</v>
      </c>
      <c r="AG304">
        <v>656000</v>
      </c>
      <c r="AH304">
        <v>315666.23</v>
      </c>
      <c r="AI304">
        <v>0.74280000000000002</v>
      </c>
      <c r="AJ304">
        <v>0.71140000000000003</v>
      </c>
      <c r="AK304">
        <v>58</v>
      </c>
      <c r="AL304" t="s">
        <v>120</v>
      </c>
      <c r="AM304">
        <v>1194000</v>
      </c>
      <c r="AN304">
        <v>9.06E-2</v>
      </c>
      <c r="AO304">
        <v>703</v>
      </c>
      <c r="AP304">
        <v>726</v>
      </c>
      <c r="AQ304" t="s">
        <v>127</v>
      </c>
      <c r="AR304" t="s">
        <v>185</v>
      </c>
      <c r="AS304">
        <v>1</v>
      </c>
      <c r="AT304">
        <v>2.0799999999999999E-2</v>
      </c>
      <c r="AU304">
        <v>0.38819999999999999</v>
      </c>
      <c r="AV304">
        <v>254711.16</v>
      </c>
      <c r="AW304">
        <v>2056.6799999999998</v>
      </c>
      <c r="AX304" t="b">
        <v>0</v>
      </c>
      <c r="AY304" t="b">
        <v>0</v>
      </c>
      <c r="AZ304" t="s">
        <v>80</v>
      </c>
      <c r="BA304">
        <v>0</v>
      </c>
      <c r="BB304">
        <v>0</v>
      </c>
      <c r="BC304">
        <v>0</v>
      </c>
      <c r="BD304">
        <v>0</v>
      </c>
      <c r="BE304" t="s">
        <v>81</v>
      </c>
      <c r="BF304" t="b">
        <v>1</v>
      </c>
    </row>
    <row r="305" spans="1:58" x14ac:dyDescent="0.3">
      <c r="A305" t="s">
        <v>784</v>
      </c>
      <c r="B305" t="s">
        <v>67</v>
      </c>
      <c r="C305" t="s">
        <v>785</v>
      </c>
      <c r="D305" t="s">
        <v>84</v>
      </c>
      <c r="E305" t="s">
        <v>85</v>
      </c>
      <c r="F305" t="s">
        <v>86</v>
      </c>
      <c r="G305" s="1">
        <v>44790</v>
      </c>
      <c r="H305" s="1">
        <v>45596</v>
      </c>
      <c r="I305" s="1">
        <v>46590</v>
      </c>
      <c r="J305">
        <v>715500</v>
      </c>
      <c r="K305">
        <v>60</v>
      </c>
      <c r="L305">
        <v>34</v>
      </c>
      <c r="M305">
        <v>26</v>
      </c>
      <c r="N305">
        <v>8.02</v>
      </c>
      <c r="O305">
        <v>14514.61</v>
      </c>
      <c r="P305" t="s">
        <v>72</v>
      </c>
      <c r="Q305">
        <v>399896.71</v>
      </c>
      <c r="R305">
        <v>14514.61</v>
      </c>
      <c r="S305">
        <v>10500.73</v>
      </c>
      <c r="T305" s="1">
        <v>45594</v>
      </c>
      <c r="U305" t="s">
        <v>131</v>
      </c>
      <c r="V305">
        <v>60</v>
      </c>
      <c r="W305">
        <v>26</v>
      </c>
      <c r="X305">
        <v>23</v>
      </c>
      <c r="Y305">
        <v>2</v>
      </c>
      <c r="Z305">
        <v>0</v>
      </c>
      <c r="AA305">
        <v>0</v>
      </c>
      <c r="AB305" t="s">
        <v>88</v>
      </c>
      <c r="AC305" t="s">
        <v>171</v>
      </c>
      <c r="AD305">
        <v>2022</v>
      </c>
      <c r="AE305" t="s">
        <v>99</v>
      </c>
      <c r="AF305" t="b">
        <v>1</v>
      </c>
      <c r="AG305">
        <v>1092000</v>
      </c>
      <c r="AH305">
        <v>728132.88</v>
      </c>
      <c r="AI305">
        <v>0.65529999999999999</v>
      </c>
      <c r="AJ305">
        <v>0.5323</v>
      </c>
      <c r="AK305">
        <v>57</v>
      </c>
      <c r="AL305" t="s">
        <v>106</v>
      </c>
      <c r="AM305">
        <v>849000</v>
      </c>
      <c r="AN305">
        <v>0.20519999999999999</v>
      </c>
      <c r="AO305">
        <v>828</v>
      </c>
      <c r="AP305">
        <v>792</v>
      </c>
      <c r="AQ305" t="s">
        <v>78</v>
      </c>
      <c r="AR305" t="s">
        <v>133</v>
      </c>
      <c r="AS305">
        <v>2</v>
      </c>
      <c r="AT305">
        <v>0.15049999999999999</v>
      </c>
      <c r="AU305">
        <v>0.54900000000000004</v>
      </c>
      <c r="AV305">
        <v>417457.58</v>
      </c>
      <c r="AW305">
        <v>34492.22</v>
      </c>
      <c r="AX305" t="b">
        <v>0</v>
      </c>
      <c r="AY305" t="b">
        <v>0</v>
      </c>
      <c r="AZ305" t="s">
        <v>80</v>
      </c>
      <c r="BA305">
        <v>0</v>
      </c>
      <c r="BB305">
        <v>0</v>
      </c>
      <c r="BC305">
        <v>0</v>
      </c>
      <c r="BD305">
        <v>0</v>
      </c>
      <c r="BE305" t="s">
        <v>108</v>
      </c>
      <c r="BF305" t="b">
        <v>1</v>
      </c>
    </row>
    <row r="306" spans="1:58" x14ac:dyDescent="0.3">
      <c r="A306" t="s">
        <v>786</v>
      </c>
      <c r="B306" t="s">
        <v>67</v>
      </c>
      <c r="C306" t="s">
        <v>787</v>
      </c>
      <c r="D306" t="s">
        <v>95</v>
      </c>
      <c r="E306" t="s">
        <v>96</v>
      </c>
      <c r="F306" t="s">
        <v>115</v>
      </c>
      <c r="G306" s="1">
        <v>44341</v>
      </c>
      <c r="H306" s="1">
        <v>45596</v>
      </c>
      <c r="I306" s="1">
        <v>45781</v>
      </c>
      <c r="J306">
        <v>847400</v>
      </c>
      <c r="K306">
        <v>48</v>
      </c>
      <c r="L306">
        <v>7</v>
      </c>
      <c r="M306">
        <v>41</v>
      </c>
      <c r="N306">
        <v>9.39</v>
      </c>
      <c r="O306">
        <v>21244.86</v>
      </c>
      <c r="P306" t="s">
        <v>72</v>
      </c>
      <c r="Q306">
        <v>111995</v>
      </c>
      <c r="R306">
        <v>21244.86</v>
      </c>
      <c r="S306">
        <v>21350.12</v>
      </c>
      <c r="T306" s="1">
        <v>45589</v>
      </c>
      <c r="U306" t="s">
        <v>73</v>
      </c>
      <c r="V306">
        <v>0</v>
      </c>
      <c r="W306">
        <v>41</v>
      </c>
      <c r="X306">
        <v>41</v>
      </c>
      <c r="Y306">
        <v>0</v>
      </c>
      <c r="Z306">
        <v>0</v>
      </c>
      <c r="AA306">
        <v>0</v>
      </c>
      <c r="AB306" t="s">
        <v>174</v>
      </c>
      <c r="AC306" t="s">
        <v>175</v>
      </c>
      <c r="AD306">
        <v>2021</v>
      </c>
      <c r="AE306" t="s">
        <v>99</v>
      </c>
      <c r="AF306" t="b">
        <v>1</v>
      </c>
      <c r="AG306">
        <v>1104000</v>
      </c>
      <c r="AH306">
        <v>553872.4</v>
      </c>
      <c r="AI306">
        <v>0.76759999999999995</v>
      </c>
      <c r="AJ306">
        <v>0.19969999999999999</v>
      </c>
      <c r="AK306">
        <v>56</v>
      </c>
      <c r="AL306" t="s">
        <v>77</v>
      </c>
      <c r="AM306">
        <v>3357000</v>
      </c>
      <c r="AN306">
        <v>7.5899999999999995E-2</v>
      </c>
      <c r="AO306">
        <v>760</v>
      </c>
      <c r="AP306">
        <v>771</v>
      </c>
      <c r="AQ306" t="s">
        <v>91</v>
      </c>
      <c r="AR306" t="s">
        <v>92</v>
      </c>
      <c r="AS306">
        <v>1</v>
      </c>
      <c r="AT306">
        <v>2.06E-2</v>
      </c>
      <c r="AU306">
        <v>0.36559999999999998</v>
      </c>
      <c r="AV306">
        <v>116282.63</v>
      </c>
      <c r="AW306">
        <v>875.77</v>
      </c>
      <c r="AX306" t="b">
        <v>0</v>
      </c>
      <c r="AY306" t="b">
        <v>0</v>
      </c>
      <c r="AZ306" t="s">
        <v>80</v>
      </c>
      <c r="BA306">
        <v>0</v>
      </c>
      <c r="BB306">
        <v>0</v>
      </c>
      <c r="BC306">
        <v>0</v>
      </c>
      <c r="BD306">
        <v>0</v>
      </c>
      <c r="BE306" t="s">
        <v>134</v>
      </c>
      <c r="BF306" t="b">
        <v>1</v>
      </c>
    </row>
    <row r="307" spans="1:58" x14ac:dyDescent="0.3">
      <c r="A307" t="s">
        <v>788</v>
      </c>
      <c r="B307" t="s">
        <v>67</v>
      </c>
      <c r="C307" t="s">
        <v>789</v>
      </c>
      <c r="D307" t="s">
        <v>69</v>
      </c>
      <c r="E307" t="s">
        <v>70</v>
      </c>
      <c r="F307" t="s">
        <v>86</v>
      </c>
      <c r="G307" s="1">
        <v>45457</v>
      </c>
      <c r="H307" s="1">
        <v>45596</v>
      </c>
      <c r="I307" s="1">
        <v>46537</v>
      </c>
      <c r="J307">
        <v>2240700</v>
      </c>
      <c r="K307">
        <v>36</v>
      </c>
      <c r="L307">
        <v>32</v>
      </c>
      <c r="M307">
        <v>4</v>
      </c>
      <c r="N307">
        <v>11.62</v>
      </c>
      <c r="O307">
        <v>74017.279999999999</v>
      </c>
      <c r="P307" t="s">
        <v>72</v>
      </c>
      <c r="Q307">
        <v>1860416.13</v>
      </c>
      <c r="R307">
        <v>74017.279999999999</v>
      </c>
      <c r="S307">
        <v>71840.14</v>
      </c>
      <c r="T307" s="1">
        <v>45574</v>
      </c>
      <c r="U307" t="s">
        <v>73</v>
      </c>
      <c r="V307">
        <v>0</v>
      </c>
      <c r="W307">
        <v>4</v>
      </c>
      <c r="X307">
        <v>4</v>
      </c>
      <c r="Y307">
        <v>0</v>
      </c>
      <c r="Z307">
        <v>0</v>
      </c>
      <c r="AA307">
        <v>0</v>
      </c>
      <c r="AB307" t="s">
        <v>111</v>
      </c>
      <c r="AC307" t="s">
        <v>112</v>
      </c>
      <c r="AD307">
        <v>2024</v>
      </c>
      <c r="AE307" t="s">
        <v>166</v>
      </c>
      <c r="AF307" t="b">
        <v>1</v>
      </c>
      <c r="AG307">
        <v>3279000</v>
      </c>
      <c r="AH307">
        <v>3369863.35</v>
      </c>
      <c r="AI307">
        <v>0.68340000000000001</v>
      </c>
      <c r="AJ307">
        <v>0.59599999999999997</v>
      </c>
      <c r="AK307">
        <v>56</v>
      </c>
      <c r="AL307" t="s">
        <v>132</v>
      </c>
      <c r="AM307">
        <v>439000</v>
      </c>
      <c r="AN307">
        <v>2.0232999999999999</v>
      </c>
      <c r="AO307">
        <v>834</v>
      </c>
      <c r="AP307">
        <v>815</v>
      </c>
      <c r="AQ307" t="s">
        <v>145</v>
      </c>
      <c r="AR307" t="s">
        <v>146</v>
      </c>
      <c r="AS307">
        <v>1</v>
      </c>
      <c r="AT307">
        <v>1.5599999999999999E-2</v>
      </c>
      <c r="AU307">
        <v>0.46929999999999999</v>
      </c>
      <c r="AV307">
        <v>1921585.01</v>
      </c>
      <c r="AW307">
        <v>14068.08</v>
      </c>
      <c r="AX307" t="b">
        <v>0</v>
      </c>
      <c r="AY307" t="b">
        <v>0</v>
      </c>
      <c r="AZ307" t="s">
        <v>80</v>
      </c>
      <c r="BA307">
        <v>0</v>
      </c>
      <c r="BB307">
        <v>0</v>
      </c>
      <c r="BC307">
        <v>0</v>
      </c>
      <c r="BD307">
        <v>0</v>
      </c>
      <c r="BE307" t="s">
        <v>108</v>
      </c>
      <c r="BF307" t="b">
        <v>1</v>
      </c>
    </row>
    <row r="308" spans="1:58" x14ac:dyDescent="0.3">
      <c r="A308" t="s">
        <v>790</v>
      </c>
      <c r="B308" t="s">
        <v>67</v>
      </c>
      <c r="C308" t="s">
        <v>791</v>
      </c>
      <c r="D308" t="s">
        <v>84</v>
      </c>
      <c r="E308" t="s">
        <v>85</v>
      </c>
      <c r="F308" t="s">
        <v>71</v>
      </c>
      <c r="G308" s="1">
        <v>44648</v>
      </c>
      <c r="H308" s="1">
        <v>45596</v>
      </c>
      <c r="I308" s="1">
        <v>46088</v>
      </c>
      <c r="J308">
        <v>2042000</v>
      </c>
      <c r="K308">
        <v>48</v>
      </c>
      <c r="L308">
        <v>17</v>
      </c>
      <c r="M308">
        <v>31</v>
      </c>
      <c r="N308">
        <v>11.19</v>
      </c>
      <c r="O308">
        <v>52965.17</v>
      </c>
      <c r="P308" t="s">
        <v>72</v>
      </c>
      <c r="Q308">
        <v>679910.06</v>
      </c>
      <c r="R308">
        <v>52965.17</v>
      </c>
      <c r="S308">
        <v>50429.67</v>
      </c>
      <c r="T308" s="1">
        <v>45594</v>
      </c>
      <c r="U308" t="s">
        <v>73</v>
      </c>
      <c r="V308">
        <v>0</v>
      </c>
      <c r="W308">
        <v>31</v>
      </c>
      <c r="X308">
        <v>31</v>
      </c>
      <c r="Y308">
        <v>0</v>
      </c>
      <c r="Z308">
        <v>0</v>
      </c>
      <c r="AA308">
        <v>0</v>
      </c>
      <c r="AB308" t="s">
        <v>164</v>
      </c>
      <c r="AC308" t="s">
        <v>426</v>
      </c>
      <c r="AD308">
        <v>2022</v>
      </c>
      <c r="AE308" t="s">
        <v>119</v>
      </c>
      <c r="AF308" t="b">
        <v>1</v>
      </c>
      <c r="AG308">
        <v>2907000</v>
      </c>
      <c r="AH308">
        <v>1741727.6</v>
      </c>
      <c r="AI308">
        <v>0.70240000000000002</v>
      </c>
      <c r="AJ308">
        <v>0.37240000000000001</v>
      </c>
      <c r="AK308">
        <v>58</v>
      </c>
      <c r="AL308" t="s">
        <v>132</v>
      </c>
      <c r="AM308">
        <v>2741000</v>
      </c>
      <c r="AN308">
        <v>0.2319</v>
      </c>
      <c r="AO308">
        <v>830</v>
      </c>
      <c r="AP308">
        <v>859</v>
      </c>
      <c r="AQ308" t="s">
        <v>127</v>
      </c>
      <c r="AR308" t="s">
        <v>185</v>
      </c>
      <c r="AS308">
        <v>1</v>
      </c>
      <c r="AT308">
        <v>1.44E-2</v>
      </c>
      <c r="AU308">
        <v>0.42049999999999998</v>
      </c>
      <c r="AV308">
        <v>694877.51</v>
      </c>
      <c r="AW308">
        <v>4207.62</v>
      </c>
      <c r="AX308" t="b">
        <v>0</v>
      </c>
      <c r="AY308" t="b">
        <v>0</v>
      </c>
      <c r="AZ308" t="s">
        <v>80</v>
      </c>
      <c r="BA308">
        <v>0</v>
      </c>
      <c r="BB308">
        <v>0</v>
      </c>
      <c r="BC308">
        <v>0</v>
      </c>
      <c r="BD308">
        <v>0</v>
      </c>
      <c r="BE308" t="s">
        <v>108</v>
      </c>
      <c r="BF308" t="b">
        <v>0</v>
      </c>
    </row>
    <row r="309" spans="1:58" x14ac:dyDescent="0.3">
      <c r="A309" t="s">
        <v>792</v>
      </c>
      <c r="B309" t="s">
        <v>67</v>
      </c>
      <c r="C309" t="s">
        <v>793</v>
      </c>
      <c r="D309" t="s">
        <v>95</v>
      </c>
      <c r="E309" t="s">
        <v>96</v>
      </c>
      <c r="F309" t="s">
        <v>86</v>
      </c>
      <c r="G309" s="1">
        <v>45401</v>
      </c>
      <c r="H309" s="1">
        <v>45596</v>
      </c>
      <c r="I309" s="1">
        <v>47561</v>
      </c>
      <c r="J309">
        <v>360500</v>
      </c>
      <c r="K309">
        <v>72</v>
      </c>
      <c r="L309">
        <v>66</v>
      </c>
      <c r="M309">
        <v>6</v>
      </c>
      <c r="N309">
        <v>10.97</v>
      </c>
      <c r="O309">
        <v>6856.25</v>
      </c>
      <c r="P309" t="s">
        <v>72</v>
      </c>
      <c r="Q309">
        <v>340179.07</v>
      </c>
      <c r="R309">
        <v>6856.25</v>
      </c>
      <c r="S309">
        <v>6811.05</v>
      </c>
      <c r="T309" s="1">
        <v>45569</v>
      </c>
      <c r="U309" t="s">
        <v>73</v>
      </c>
      <c r="V309">
        <v>0</v>
      </c>
      <c r="W309">
        <v>6</v>
      </c>
      <c r="X309">
        <v>6</v>
      </c>
      <c r="Y309">
        <v>0</v>
      </c>
      <c r="Z309">
        <v>0</v>
      </c>
      <c r="AA309">
        <v>0</v>
      </c>
      <c r="AB309" t="s">
        <v>174</v>
      </c>
      <c r="AC309" t="s">
        <v>423</v>
      </c>
      <c r="AD309">
        <v>2024</v>
      </c>
      <c r="AE309" t="s">
        <v>99</v>
      </c>
      <c r="AF309" t="b">
        <v>1</v>
      </c>
      <c r="AG309">
        <v>401000</v>
      </c>
      <c r="AH309">
        <v>393161.62</v>
      </c>
      <c r="AI309">
        <v>0.89910000000000001</v>
      </c>
      <c r="AJ309">
        <v>0.91410000000000002</v>
      </c>
      <c r="AK309">
        <v>50</v>
      </c>
      <c r="AL309" t="s">
        <v>132</v>
      </c>
      <c r="AM309">
        <v>1386000</v>
      </c>
      <c r="AN309">
        <v>5.9400000000000001E-2</v>
      </c>
      <c r="AO309">
        <v>818</v>
      </c>
      <c r="AP309">
        <v>823</v>
      </c>
      <c r="AQ309" t="s">
        <v>78</v>
      </c>
      <c r="AR309" t="s">
        <v>79</v>
      </c>
      <c r="AS309">
        <v>1</v>
      </c>
      <c r="AT309">
        <v>2.3699999999999999E-2</v>
      </c>
      <c r="AU309">
        <v>0.52729999999999999</v>
      </c>
      <c r="AV309">
        <v>353059.14</v>
      </c>
      <c r="AW309">
        <v>4412.18</v>
      </c>
      <c r="AX309" t="b">
        <v>0</v>
      </c>
      <c r="AY309" t="b">
        <v>0</v>
      </c>
      <c r="AZ309" t="s">
        <v>80</v>
      </c>
      <c r="BA309">
        <v>0</v>
      </c>
      <c r="BB309">
        <v>0</v>
      </c>
      <c r="BC309">
        <v>0</v>
      </c>
      <c r="BD309">
        <v>0</v>
      </c>
      <c r="BE309" t="s">
        <v>108</v>
      </c>
      <c r="BF309" t="b">
        <v>0</v>
      </c>
    </row>
    <row r="310" spans="1:58" x14ac:dyDescent="0.3">
      <c r="A310" t="s">
        <v>794</v>
      </c>
      <c r="B310" t="s">
        <v>67</v>
      </c>
      <c r="C310" t="s">
        <v>795</v>
      </c>
      <c r="D310" t="s">
        <v>95</v>
      </c>
      <c r="E310" t="s">
        <v>96</v>
      </c>
      <c r="F310" t="s">
        <v>115</v>
      </c>
      <c r="G310" s="1">
        <v>44313</v>
      </c>
      <c r="H310" s="1">
        <v>45596</v>
      </c>
      <c r="I310" s="1">
        <v>46473</v>
      </c>
      <c r="J310">
        <v>2894400</v>
      </c>
      <c r="K310">
        <v>72</v>
      </c>
      <c r="L310">
        <v>30</v>
      </c>
      <c r="M310">
        <v>42</v>
      </c>
      <c r="N310">
        <v>10.47</v>
      </c>
      <c r="O310">
        <v>54309.73</v>
      </c>
      <c r="P310" t="s">
        <v>72</v>
      </c>
      <c r="Q310">
        <v>1215506.93</v>
      </c>
      <c r="R310">
        <v>54309.73</v>
      </c>
      <c r="S310">
        <v>54896.27</v>
      </c>
      <c r="T310" s="1">
        <v>45589</v>
      </c>
      <c r="U310" t="s">
        <v>73</v>
      </c>
      <c r="V310">
        <v>0</v>
      </c>
      <c r="W310">
        <v>42</v>
      </c>
      <c r="X310">
        <v>42</v>
      </c>
      <c r="Y310">
        <v>0</v>
      </c>
      <c r="Z310">
        <v>0</v>
      </c>
      <c r="AA310">
        <v>0</v>
      </c>
      <c r="AB310" t="s">
        <v>74</v>
      </c>
      <c r="AC310" t="s">
        <v>220</v>
      </c>
      <c r="AD310">
        <v>2021</v>
      </c>
      <c r="AE310" t="s">
        <v>119</v>
      </c>
      <c r="AF310" t="b">
        <v>1</v>
      </c>
      <c r="AG310">
        <v>3118000</v>
      </c>
      <c r="AH310">
        <v>1486799.59</v>
      </c>
      <c r="AI310">
        <v>0.92830000000000001</v>
      </c>
      <c r="AJ310">
        <v>0.78600000000000003</v>
      </c>
      <c r="AK310">
        <v>58</v>
      </c>
      <c r="AL310" t="s">
        <v>106</v>
      </c>
      <c r="AM310">
        <v>2278000</v>
      </c>
      <c r="AN310">
        <v>0.28610000000000002</v>
      </c>
      <c r="AO310">
        <v>840</v>
      </c>
      <c r="AP310">
        <v>820</v>
      </c>
      <c r="AQ310" t="s">
        <v>100</v>
      </c>
      <c r="AR310" t="s">
        <v>121</v>
      </c>
      <c r="AS310">
        <v>1</v>
      </c>
      <c r="AT310">
        <v>2.1399999999999999E-2</v>
      </c>
      <c r="AU310">
        <v>0.45850000000000002</v>
      </c>
      <c r="AV310">
        <v>1255571.8600000001</v>
      </c>
      <c r="AW310">
        <v>12319.55</v>
      </c>
      <c r="AX310" t="b">
        <v>0</v>
      </c>
      <c r="AY310" t="b">
        <v>0</v>
      </c>
      <c r="AZ310" t="s">
        <v>80</v>
      </c>
      <c r="BA310">
        <v>0</v>
      </c>
      <c r="BB310">
        <v>0</v>
      </c>
      <c r="BC310">
        <v>0</v>
      </c>
      <c r="BD310">
        <v>0</v>
      </c>
      <c r="BE310" t="s">
        <v>108</v>
      </c>
      <c r="BF310" t="b">
        <v>0</v>
      </c>
    </row>
    <row r="311" spans="1:58" x14ac:dyDescent="0.3">
      <c r="A311" t="s">
        <v>796</v>
      </c>
      <c r="B311" t="s">
        <v>67</v>
      </c>
      <c r="C311" t="s">
        <v>797</v>
      </c>
      <c r="D311" t="s">
        <v>69</v>
      </c>
      <c r="E311" t="s">
        <v>70</v>
      </c>
      <c r="F311" t="s">
        <v>71</v>
      </c>
      <c r="G311" s="1">
        <v>45550</v>
      </c>
      <c r="H311" s="1">
        <v>45596</v>
      </c>
      <c r="I311" s="1">
        <v>47710</v>
      </c>
      <c r="J311">
        <v>1544900</v>
      </c>
      <c r="K311">
        <v>72</v>
      </c>
      <c r="L311">
        <v>71</v>
      </c>
      <c r="M311">
        <v>1</v>
      </c>
      <c r="N311">
        <v>7.76</v>
      </c>
      <c r="O311">
        <v>26906.42</v>
      </c>
      <c r="P311" t="s">
        <v>72</v>
      </c>
      <c r="Q311">
        <v>1453073.01</v>
      </c>
      <c r="R311">
        <v>26906.42</v>
      </c>
      <c r="S311">
        <v>26924.5</v>
      </c>
      <c r="T311" s="1">
        <v>45568</v>
      </c>
      <c r="U311" t="s">
        <v>73</v>
      </c>
      <c r="V311">
        <v>0</v>
      </c>
      <c r="W311">
        <v>1</v>
      </c>
      <c r="X311">
        <v>1</v>
      </c>
      <c r="Y311">
        <v>0</v>
      </c>
      <c r="Z311">
        <v>0</v>
      </c>
      <c r="AA311">
        <v>0</v>
      </c>
      <c r="AB311" t="s">
        <v>111</v>
      </c>
      <c r="AC311" t="s">
        <v>112</v>
      </c>
      <c r="AD311">
        <v>2024</v>
      </c>
      <c r="AE311" t="s">
        <v>166</v>
      </c>
      <c r="AF311" t="b">
        <v>1</v>
      </c>
      <c r="AG311">
        <v>2049000</v>
      </c>
      <c r="AH311">
        <v>2056758.34</v>
      </c>
      <c r="AI311">
        <v>0.754</v>
      </c>
      <c r="AJ311">
        <v>0.71779999999999999</v>
      </c>
      <c r="AK311">
        <v>57</v>
      </c>
      <c r="AL311" t="s">
        <v>77</v>
      </c>
      <c r="AM311">
        <v>2220000</v>
      </c>
      <c r="AN311">
        <v>0.1454</v>
      </c>
      <c r="AO311">
        <v>798</v>
      </c>
      <c r="AP311">
        <v>758</v>
      </c>
      <c r="AQ311" t="s">
        <v>91</v>
      </c>
      <c r="AR311" t="s">
        <v>252</v>
      </c>
      <c r="AS311">
        <v>1</v>
      </c>
      <c r="AT311">
        <v>2.1600000000000001E-2</v>
      </c>
      <c r="AU311">
        <v>0.39410000000000001</v>
      </c>
      <c r="AV311">
        <v>1497969.28</v>
      </c>
      <c r="AW311">
        <v>12751.55</v>
      </c>
      <c r="AX311" t="b">
        <v>0</v>
      </c>
      <c r="AY311" t="b">
        <v>0</v>
      </c>
      <c r="AZ311" t="s">
        <v>80</v>
      </c>
      <c r="BA311">
        <v>0</v>
      </c>
      <c r="BB311">
        <v>0</v>
      </c>
      <c r="BC311">
        <v>0</v>
      </c>
      <c r="BD311">
        <v>9238.0400000000009</v>
      </c>
      <c r="BE311" t="s">
        <v>108</v>
      </c>
      <c r="BF311" t="b">
        <v>1</v>
      </c>
    </row>
    <row r="312" spans="1:58" x14ac:dyDescent="0.3">
      <c r="A312" t="s">
        <v>798</v>
      </c>
      <c r="B312" t="s">
        <v>67</v>
      </c>
      <c r="C312" t="s">
        <v>799</v>
      </c>
      <c r="D312" t="s">
        <v>95</v>
      </c>
      <c r="E312" t="s">
        <v>96</v>
      </c>
      <c r="F312" t="s">
        <v>86</v>
      </c>
      <c r="G312" s="1">
        <v>44282</v>
      </c>
      <c r="H312" s="1">
        <v>45596</v>
      </c>
      <c r="I312" s="1">
        <v>46802</v>
      </c>
      <c r="J312">
        <v>570700</v>
      </c>
      <c r="K312">
        <v>84</v>
      </c>
      <c r="L312">
        <v>41</v>
      </c>
      <c r="M312">
        <v>43</v>
      </c>
      <c r="N312">
        <v>9.14</v>
      </c>
      <c r="O312">
        <v>9222.64</v>
      </c>
      <c r="P312" t="s">
        <v>116</v>
      </c>
      <c r="Q312">
        <v>255261.58</v>
      </c>
      <c r="R312">
        <v>9222.64</v>
      </c>
      <c r="S312">
        <v>8909.36</v>
      </c>
      <c r="T312" s="1">
        <v>45594</v>
      </c>
      <c r="U312" t="s">
        <v>73</v>
      </c>
      <c r="V312">
        <v>0</v>
      </c>
      <c r="W312">
        <v>43</v>
      </c>
      <c r="X312">
        <v>43</v>
      </c>
      <c r="Y312">
        <v>0</v>
      </c>
      <c r="Z312">
        <v>0</v>
      </c>
      <c r="AA312">
        <v>0</v>
      </c>
      <c r="AB312" t="s">
        <v>97</v>
      </c>
      <c r="AC312" t="s">
        <v>98</v>
      </c>
      <c r="AD312">
        <v>2018</v>
      </c>
      <c r="AE312" t="s">
        <v>119</v>
      </c>
      <c r="AF312" t="b">
        <v>0</v>
      </c>
      <c r="AG312">
        <v>636000</v>
      </c>
      <c r="AH312">
        <v>294949.12</v>
      </c>
      <c r="AI312">
        <v>0.89729999999999999</v>
      </c>
      <c r="AJ312">
        <v>0.82920000000000005</v>
      </c>
      <c r="AK312">
        <v>53</v>
      </c>
      <c r="AL312" t="s">
        <v>132</v>
      </c>
      <c r="AM312">
        <v>1016000</v>
      </c>
      <c r="AN312">
        <v>0.1089</v>
      </c>
      <c r="AO312">
        <v>733</v>
      </c>
      <c r="AP312">
        <v>756</v>
      </c>
      <c r="AQ312" t="s">
        <v>91</v>
      </c>
      <c r="AR312" t="s">
        <v>252</v>
      </c>
      <c r="AS312">
        <v>1</v>
      </c>
      <c r="AT312">
        <v>2.5700000000000001E-2</v>
      </c>
      <c r="AU312">
        <v>0.61919999999999997</v>
      </c>
      <c r="AV312">
        <v>260044.1</v>
      </c>
      <c r="AW312">
        <v>4138.2</v>
      </c>
      <c r="AX312" t="b">
        <v>0</v>
      </c>
      <c r="AY312" t="b">
        <v>0</v>
      </c>
      <c r="AZ312" t="s">
        <v>80</v>
      </c>
      <c r="BA312">
        <v>0</v>
      </c>
      <c r="BB312">
        <v>0</v>
      </c>
      <c r="BC312">
        <v>0</v>
      </c>
      <c r="BD312">
        <v>0</v>
      </c>
      <c r="BE312" t="s">
        <v>81</v>
      </c>
      <c r="BF312" t="b">
        <v>1</v>
      </c>
    </row>
    <row r="313" spans="1:58" x14ac:dyDescent="0.3">
      <c r="A313" t="s">
        <v>800</v>
      </c>
      <c r="B313" t="s">
        <v>67</v>
      </c>
      <c r="C313" t="s">
        <v>801</v>
      </c>
      <c r="D313" t="s">
        <v>84</v>
      </c>
      <c r="E313" t="s">
        <v>85</v>
      </c>
      <c r="F313" t="s">
        <v>115</v>
      </c>
      <c r="G313" s="1">
        <v>44504</v>
      </c>
      <c r="H313" s="1">
        <v>45596</v>
      </c>
      <c r="I313" s="1">
        <v>45944</v>
      </c>
      <c r="J313">
        <v>1244600</v>
      </c>
      <c r="K313">
        <v>48</v>
      </c>
      <c r="L313">
        <v>13</v>
      </c>
      <c r="M313">
        <v>35</v>
      </c>
      <c r="N313">
        <v>10.15</v>
      </c>
      <c r="O313">
        <v>31656</v>
      </c>
      <c r="P313" t="s">
        <v>139</v>
      </c>
      <c r="Q313">
        <v>332832.96000000002</v>
      </c>
      <c r="R313">
        <v>31656</v>
      </c>
      <c r="S313">
        <v>31000.93</v>
      </c>
      <c r="T313" s="1">
        <v>45581</v>
      </c>
      <c r="U313" t="s">
        <v>73</v>
      </c>
      <c r="V313">
        <v>0</v>
      </c>
      <c r="W313">
        <v>35</v>
      </c>
      <c r="X313">
        <v>35</v>
      </c>
      <c r="Y313">
        <v>0</v>
      </c>
      <c r="Z313">
        <v>0</v>
      </c>
      <c r="AA313">
        <v>0</v>
      </c>
      <c r="AB313" t="s">
        <v>104</v>
      </c>
      <c r="AC313" t="s">
        <v>105</v>
      </c>
      <c r="AD313">
        <v>2019</v>
      </c>
      <c r="AE313" t="s">
        <v>119</v>
      </c>
      <c r="AF313" t="b">
        <v>0</v>
      </c>
      <c r="AG313">
        <v>1600000</v>
      </c>
      <c r="AH313">
        <v>896203.84</v>
      </c>
      <c r="AI313">
        <v>0.77790000000000004</v>
      </c>
      <c r="AJ313">
        <v>0.35870000000000002</v>
      </c>
      <c r="AK313">
        <v>33</v>
      </c>
      <c r="AL313" t="s">
        <v>120</v>
      </c>
      <c r="AM313">
        <v>3884000</v>
      </c>
      <c r="AN313">
        <v>9.7799999999999998E-2</v>
      </c>
      <c r="AO313">
        <v>816</v>
      </c>
      <c r="AP313">
        <v>776</v>
      </c>
      <c r="AQ313" t="s">
        <v>145</v>
      </c>
      <c r="AR313" t="s">
        <v>176</v>
      </c>
      <c r="AS313">
        <v>1</v>
      </c>
      <c r="AT313">
        <v>2.1299999999999999E-2</v>
      </c>
      <c r="AU313">
        <v>0.54779999999999995</v>
      </c>
      <c r="AV313">
        <v>341492.21</v>
      </c>
      <c r="AW313">
        <v>3984.58</v>
      </c>
      <c r="AX313" t="b">
        <v>0</v>
      </c>
      <c r="AY313" t="b">
        <v>0</v>
      </c>
      <c r="AZ313" t="s">
        <v>80</v>
      </c>
      <c r="BA313">
        <v>0</v>
      </c>
      <c r="BB313">
        <v>0</v>
      </c>
      <c r="BC313">
        <v>0</v>
      </c>
      <c r="BD313">
        <v>0</v>
      </c>
      <c r="BE313" t="s">
        <v>108</v>
      </c>
      <c r="BF313" t="b">
        <v>1</v>
      </c>
    </row>
    <row r="314" spans="1:58" x14ac:dyDescent="0.3">
      <c r="A314" t="s">
        <v>802</v>
      </c>
      <c r="B314" t="s">
        <v>67</v>
      </c>
      <c r="C314" t="s">
        <v>803</v>
      </c>
      <c r="D314" t="s">
        <v>95</v>
      </c>
      <c r="E314" t="s">
        <v>96</v>
      </c>
      <c r="F314" t="s">
        <v>86</v>
      </c>
      <c r="G314" s="1">
        <v>44938</v>
      </c>
      <c r="H314" s="1">
        <v>45596</v>
      </c>
      <c r="I314" s="1">
        <v>47098</v>
      </c>
      <c r="J314">
        <v>709700</v>
      </c>
      <c r="K314">
        <v>72</v>
      </c>
      <c r="L314">
        <v>51</v>
      </c>
      <c r="M314">
        <v>21</v>
      </c>
      <c r="N314">
        <v>10.029999999999999</v>
      </c>
      <c r="O314">
        <v>13158.53</v>
      </c>
      <c r="P314" t="s">
        <v>72</v>
      </c>
      <c r="Q314">
        <v>478975.37</v>
      </c>
      <c r="R314">
        <v>13158.53</v>
      </c>
      <c r="S314">
        <v>9278.7800000000007</v>
      </c>
      <c r="T314" s="1">
        <v>45584</v>
      </c>
      <c r="U314" t="s">
        <v>87</v>
      </c>
      <c r="V314">
        <v>5</v>
      </c>
      <c r="W314">
        <v>21</v>
      </c>
      <c r="X314">
        <v>20</v>
      </c>
      <c r="Y314">
        <v>1</v>
      </c>
      <c r="Z314">
        <v>0</v>
      </c>
      <c r="AA314">
        <v>0</v>
      </c>
      <c r="AB314" t="s">
        <v>125</v>
      </c>
      <c r="AC314" t="s">
        <v>144</v>
      </c>
      <c r="AD314">
        <v>2023</v>
      </c>
      <c r="AE314" t="s">
        <v>99</v>
      </c>
      <c r="AF314" t="b">
        <v>1</v>
      </c>
      <c r="AG314">
        <v>939000</v>
      </c>
      <c r="AH314">
        <v>758543.85</v>
      </c>
      <c r="AI314">
        <v>0.75580000000000003</v>
      </c>
      <c r="AJ314">
        <v>0.68189999999999995</v>
      </c>
      <c r="AK314">
        <v>27</v>
      </c>
      <c r="AL314" t="s">
        <v>106</v>
      </c>
      <c r="AM314">
        <v>3263000</v>
      </c>
      <c r="AN314">
        <v>4.8399999999999999E-2</v>
      </c>
      <c r="AO314">
        <v>764</v>
      </c>
      <c r="AP314">
        <v>767</v>
      </c>
      <c r="AQ314" t="s">
        <v>100</v>
      </c>
      <c r="AR314" t="s">
        <v>149</v>
      </c>
      <c r="AS314">
        <v>1</v>
      </c>
      <c r="AT314">
        <v>1.78E-2</v>
      </c>
      <c r="AU314">
        <v>0.3745</v>
      </c>
      <c r="AV314">
        <v>489058.34</v>
      </c>
      <c r="AW314">
        <v>3260.11</v>
      </c>
      <c r="AX314" t="b">
        <v>0</v>
      </c>
      <c r="AY314" t="b">
        <v>0</v>
      </c>
      <c r="AZ314" t="s">
        <v>80</v>
      </c>
      <c r="BA314">
        <v>0</v>
      </c>
      <c r="BB314">
        <v>0</v>
      </c>
      <c r="BC314">
        <v>0</v>
      </c>
      <c r="BD314">
        <v>0</v>
      </c>
      <c r="BE314" t="s">
        <v>108</v>
      </c>
      <c r="BF314" t="b">
        <v>1</v>
      </c>
    </row>
    <row r="315" spans="1:58" x14ac:dyDescent="0.3">
      <c r="A315" t="s">
        <v>804</v>
      </c>
      <c r="B315" t="s">
        <v>67</v>
      </c>
      <c r="C315" t="s">
        <v>805</v>
      </c>
      <c r="D315" t="s">
        <v>69</v>
      </c>
      <c r="E315" t="s">
        <v>70</v>
      </c>
      <c r="F315" t="s">
        <v>115</v>
      </c>
      <c r="G315" s="1">
        <v>45126</v>
      </c>
      <c r="H315" s="1">
        <v>45596</v>
      </c>
      <c r="I315" s="1">
        <v>47286</v>
      </c>
      <c r="J315">
        <v>604200</v>
      </c>
      <c r="K315">
        <v>72</v>
      </c>
      <c r="L315">
        <v>57</v>
      </c>
      <c r="M315">
        <v>15</v>
      </c>
      <c r="N315">
        <v>7.67</v>
      </c>
      <c r="O315">
        <v>10496.49</v>
      </c>
      <c r="P315" t="s">
        <v>116</v>
      </c>
      <c r="Q315">
        <v>442469.92</v>
      </c>
      <c r="R315">
        <v>10496.49</v>
      </c>
      <c r="S315">
        <v>10847.92</v>
      </c>
      <c r="T315" s="1">
        <v>45578</v>
      </c>
      <c r="U315" t="s">
        <v>73</v>
      </c>
      <c r="V315">
        <v>0</v>
      </c>
      <c r="W315">
        <v>15</v>
      </c>
      <c r="X315">
        <v>15</v>
      </c>
      <c r="Y315">
        <v>0</v>
      </c>
      <c r="Z315">
        <v>0</v>
      </c>
      <c r="AA315">
        <v>0</v>
      </c>
      <c r="AB315" t="s">
        <v>117</v>
      </c>
      <c r="AC315" t="s">
        <v>806</v>
      </c>
      <c r="AD315">
        <v>2020</v>
      </c>
      <c r="AE315" t="s">
        <v>90</v>
      </c>
      <c r="AF315" t="b">
        <v>0</v>
      </c>
      <c r="AG315">
        <v>951000</v>
      </c>
      <c r="AH315">
        <v>820005.69</v>
      </c>
      <c r="AI315">
        <v>0.63529999999999998</v>
      </c>
      <c r="AJ315">
        <v>0.56740000000000002</v>
      </c>
      <c r="AK315">
        <v>31</v>
      </c>
      <c r="AL315" t="s">
        <v>120</v>
      </c>
      <c r="AM315">
        <v>4550000</v>
      </c>
      <c r="AN315">
        <v>2.7699999999999999E-2</v>
      </c>
      <c r="AO315">
        <v>740</v>
      </c>
      <c r="AP315">
        <v>706</v>
      </c>
      <c r="AQ315" t="s">
        <v>127</v>
      </c>
      <c r="AR315" t="s">
        <v>153</v>
      </c>
      <c r="AS315">
        <v>1</v>
      </c>
      <c r="AT315">
        <v>1.49E-2</v>
      </c>
      <c r="AU315">
        <v>0.62619999999999998</v>
      </c>
      <c r="AV315">
        <v>463485.45</v>
      </c>
      <c r="AW315">
        <v>4324.5</v>
      </c>
      <c r="AX315" t="b">
        <v>0</v>
      </c>
      <c r="AY315" t="b">
        <v>0</v>
      </c>
      <c r="AZ315" t="s">
        <v>80</v>
      </c>
      <c r="BA315">
        <v>0</v>
      </c>
      <c r="BB315">
        <v>0</v>
      </c>
      <c r="BC315">
        <v>0</v>
      </c>
      <c r="BD315">
        <v>0</v>
      </c>
      <c r="BE315" t="s">
        <v>108</v>
      </c>
      <c r="BF315" t="b">
        <v>1</v>
      </c>
    </row>
    <row r="316" spans="1:58" x14ac:dyDescent="0.3">
      <c r="A316" t="s">
        <v>807</v>
      </c>
      <c r="B316" t="s">
        <v>67</v>
      </c>
      <c r="C316" t="s">
        <v>808</v>
      </c>
      <c r="D316" t="s">
        <v>95</v>
      </c>
      <c r="E316" t="s">
        <v>96</v>
      </c>
      <c r="F316" t="s">
        <v>86</v>
      </c>
      <c r="G316" s="1">
        <v>44472</v>
      </c>
      <c r="H316" s="1">
        <v>45596</v>
      </c>
      <c r="I316" s="1">
        <v>46992</v>
      </c>
      <c r="J316">
        <v>723500</v>
      </c>
      <c r="K316">
        <v>84</v>
      </c>
      <c r="L316">
        <v>48</v>
      </c>
      <c r="M316">
        <v>36</v>
      </c>
      <c r="N316">
        <v>11.65</v>
      </c>
      <c r="O316">
        <v>12636.73</v>
      </c>
      <c r="P316" t="s">
        <v>72</v>
      </c>
      <c r="Q316">
        <v>413877.58</v>
      </c>
      <c r="R316">
        <v>12636.73</v>
      </c>
      <c r="S316">
        <v>12933.22</v>
      </c>
      <c r="T316" s="1">
        <v>45583</v>
      </c>
      <c r="U316" t="s">
        <v>73</v>
      </c>
      <c r="V316">
        <v>0</v>
      </c>
      <c r="W316">
        <v>36</v>
      </c>
      <c r="X316">
        <v>36</v>
      </c>
      <c r="Y316">
        <v>0</v>
      </c>
      <c r="Z316">
        <v>0</v>
      </c>
      <c r="AA316">
        <v>0</v>
      </c>
      <c r="AB316" t="s">
        <v>208</v>
      </c>
      <c r="AC316" t="s">
        <v>405</v>
      </c>
      <c r="AD316">
        <v>2021</v>
      </c>
      <c r="AE316" t="s">
        <v>90</v>
      </c>
      <c r="AF316" t="b">
        <v>1</v>
      </c>
      <c r="AG316">
        <v>792000</v>
      </c>
      <c r="AH316">
        <v>443606.39</v>
      </c>
      <c r="AI316">
        <v>0.91349999999999998</v>
      </c>
      <c r="AJ316">
        <v>0.92</v>
      </c>
      <c r="AK316">
        <v>49</v>
      </c>
      <c r="AL316" t="s">
        <v>106</v>
      </c>
      <c r="AM316">
        <v>2838000</v>
      </c>
      <c r="AN316">
        <v>5.3400000000000003E-2</v>
      </c>
      <c r="AO316">
        <v>800</v>
      </c>
      <c r="AP316">
        <v>785</v>
      </c>
      <c r="AQ316" t="s">
        <v>145</v>
      </c>
      <c r="AR316" t="s">
        <v>176</v>
      </c>
      <c r="AS316">
        <v>1</v>
      </c>
      <c r="AT316">
        <v>1.7899999999999999E-2</v>
      </c>
      <c r="AU316">
        <v>0.4456</v>
      </c>
      <c r="AV316">
        <v>417569.7</v>
      </c>
      <c r="AW316">
        <v>3330.64</v>
      </c>
      <c r="AX316" t="b">
        <v>0</v>
      </c>
      <c r="AY316" t="b">
        <v>0</v>
      </c>
      <c r="AZ316" t="s">
        <v>80</v>
      </c>
      <c r="BA316">
        <v>0</v>
      </c>
      <c r="BB316">
        <v>0</v>
      </c>
      <c r="BC316">
        <v>0</v>
      </c>
      <c r="BD316">
        <v>0</v>
      </c>
      <c r="BE316" t="s">
        <v>108</v>
      </c>
      <c r="BF316" t="b">
        <v>0</v>
      </c>
    </row>
    <row r="317" spans="1:58" x14ac:dyDescent="0.3">
      <c r="A317" t="s">
        <v>809</v>
      </c>
      <c r="B317" t="s">
        <v>67</v>
      </c>
      <c r="C317" t="s">
        <v>810</v>
      </c>
      <c r="D317" t="s">
        <v>95</v>
      </c>
      <c r="E317" t="s">
        <v>96</v>
      </c>
      <c r="F317" t="s">
        <v>71</v>
      </c>
      <c r="G317" s="1">
        <v>44766</v>
      </c>
      <c r="H317" s="1">
        <v>45596</v>
      </c>
      <c r="I317" s="1">
        <v>46566</v>
      </c>
      <c r="J317">
        <v>336100</v>
      </c>
      <c r="K317">
        <v>60</v>
      </c>
      <c r="L317">
        <v>33</v>
      </c>
      <c r="M317">
        <v>27</v>
      </c>
      <c r="N317">
        <v>14.07</v>
      </c>
      <c r="O317">
        <v>7832.66</v>
      </c>
      <c r="P317" t="s">
        <v>116</v>
      </c>
      <c r="Q317">
        <v>173563.01</v>
      </c>
      <c r="R317">
        <v>7832.66</v>
      </c>
      <c r="S317">
        <v>1848.14</v>
      </c>
      <c r="T317" s="1">
        <v>45589</v>
      </c>
      <c r="U317" t="s">
        <v>87</v>
      </c>
      <c r="V317">
        <v>25</v>
      </c>
      <c r="W317">
        <v>27</v>
      </c>
      <c r="X317">
        <v>26</v>
      </c>
      <c r="Y317">
        <v>1</v>
      </c>
      <c r="Z317">
        <v>0</v>
      </c>
      <c r="AA317">
        <v>0</v>
      </c>
      <c r="AB317" t="s">
        <v>104</v>
      </c>
      <c r="AC317" t="s">
        <v>156</v>
      </c>
      <c r="AD317">
        <v>2019</v>
      </c>
      <c r="AE317" t="s">
        <v>76</v>
      </c>
      <c r="AF317" t="b">
        <v>0</v>
      </c>
      <c r="AG317">
        <v>446000</v>
      </c>
      <c r="AH317">
        <v>314535.76</v>
      </c>
      <c r="AI317">
        <v>0.75360000000000005</v>
      </c>
      <c r="AJ317">
        <v>0.57569999999999999</v>
      </c>
      <c r="AK317">
        <v>30</v>
      </c>
      <c r="AL317" t="s">
        <v>77</v>
      </c>
      <c r="AM317">
        <v>3432000</v>
      </c>
      <c r="AN317">
        <v>2.7400000000000001E-2</v>
      </c>
      <c r="AO317">
        <v>686</v>
      </c>
      <c r="AP317">
        <v>648</v>
      </c>
      <c r="AQ317" t="s">
        <v>100</v>
      </c>
      <c r="AR317" t="s">
        <v>149</v>
      </c>
      <c r="AS317">
        <v>1</v>
      </c>
      <c r="AT317">
        <v>1.7399999999999999E-2</v>
      </c>
      <c r="AU317">
        <v>0.63439999999999996</v>
      </c>
      <c r="AV317">
        <v>177264.26</v>
      </c>
      <c r="AW317">
        <v>1956.74</v>
      </c>
      <c r="AX317" t="b">
        <v>0</v>
      </c>
      <c r="AY317" t="b">
        <v>1</v>
      </c>
      <c r="AZ317" t="s">
        <v>361</v>
      </c>
      <c r="BA317">
        <v>0</v>
      </c>
      <c r="BB317">
        <v>0</v>
      </c>
      <c r="BC317">
        <v>0</v>
      </c>
      <c r="BD317">
        <v>0</v>
      </c>
      <c r="BE317" t="s">
        <v>134</v>
      </c>
      <c r="BF317" t="b">
        <v>1</v>
      </c>
    </row>
    <row r="318" spans="1:58" x14ac:dyDescent="0.3">
      <c r="A318" t="s">
        <v>811</v>
      </c>
      <c r="B318" t="s">
        <v>67</v>
      </c>
      <c r="C318" t="s">
        <v>812</v>
      </c>
      <c r="D318" t="s">
        <v>95</v>
      </c>
      <c r="E318" t="s">
        <v>96</v>
      </c>
      <c r="F318" t="s">
        <v>71</v>
      </c>
      <c r="G318" s="1">
        <v>44442</v>
      </c>
      <c r="H318" s="1">
        <v>45596</v>
      </c>
      <c r="I318" s="1">
        <v>45522</v>
      </c>
      <c r="J318">
        <v>1028100</v>
      </c>
      <c r="K318">
        <v>36</v>
      </c>
      <c r="L318">
        <v>0</v>
      </c>
      <c r="M318">
        <v>37</v>
      </c>
      <c r="N318">
        <v>14.28</v>
      </c>
      <c r="O318">
        <v>35278</v>
      </c>
      <c r="P318" t="s">
        <v>72</v>
      </c>
      <c r="Q318">
        <v>0</v>
      </c>
      <c r="R318">
        <v>35278</v>
      </c>
      <c r="S318">
        <v>35582.6</v>
      </c>
      <c r="T318" s="1">
        <v>45582</v>
      </c>
      <c r="U318" t="s">
        <v>73</v>
      </c>
      <c r="V318">
        <v>0</v>
      </c>
      <c r="W318">
        <v>37</v>
      </c>
      <c r="X318">
        <v>37</v>
      </c>
      <c r="Y318">
        <v>0</v>
      </c>
      <c r="Z318">
        <v>0</v>
      </c>
      <c r="AA318">
        <v>0</v>
      </c>
      <c r="AB318" t="s">
        <v>164</v>
      </c>
      <c r="AC318" t="s">
        <v>165</v>
      </c>
      <c r="AD318">
        <v>2021</v>
      </c>
      <c r="AE318" t="s">
        <v>99</v>
      </c>
      <c r="AF318" t="b">
        <v>1</v>
      </c>
      <c r="AG318">
        <v>1085000</v>
      </c>
      <c r="AH318">
        <v>624174.74</v>
      </c>
      <c r="AI318">
        <v>0.9476</v>
      </c>
      <c r="AJ318">
        <v>0</v>
      </c>
      <c r="AK318">
        <v>39</v>
      </c>
      <c r="AL318" t="s">
        <v>132</v>
      </c>
      <c r="AM318">
        <v>1718000</v>
      </c>
      <c r="AN318">
        <v>0.24640000000000001</v>
      </c>
      <c r="AO318">
        <v>720</v>
      </c>
      <c r="AP318">
        <v>728</v>
      </c>
      <c r="AQ318" t="s">
        <v>78</v>
      </c>
      <c r="AR318" t="s">
        <v>79</v>
      </c>
      <c r="AS318">
        <v>1</v>
      </c>
      <c r="AT318">
        <v>2.41E-2</v>
      </c>
      <c r="AU318">
        <v>0.54830000000000001</v>
      </c>
      <c r="AV318">
        <v>0</v>
      </c>
      <c r="AW318">
        <v>0</v>
      </c>
      <c r="AX318" t="b">
        <v>0</v>
      </c>
      <c r="AY318" t="b">
        <v>0</v>
      </c>
      <c r="AZ318" t="s">
        <v>80</v>
      </c>
      <c r="BA318">
        <v>0</v>
      </c>
      <c r="BB318">
        <v>0</v>
      </c>
      <c r="BC318">
        <v>0</v>
      </c>
      <c r="BD318">
        <v>67151.37</v>
      </c>
      <c r="BE318" t="s">
        <v>81</v>
      </c>
      <c r="BF318" t="b">
        <v>1</v>
      </c>
    </row>
    <row r="319" spans="1:58" x14ac:dyDescent="0.3">
      <c r="A319" t="s">
        <v>813</v>
      </c>
      <c r="B319" t="s">
        <v>67</v>
      </c>
      <c r="C319" t="s">
        <v>814</v>
      </c>
      <c r="D319" t="s">
        <v>84</v>
      </c>
      <c r="E319" t="s">
        <v>85</v>
      </c>
      <c r="F319" t="s">
        <v>71</v>
      </c>
      <c r="G319" s="1">
        <v>44740</v>
      </c>
      <c r="H319" s="1">
        <v>45596</v>
      </c>
      <c r="I319" s="1">
        <v>46180</v>
      </c>
      <c r="J319">
        <v>1137100</v>
      </c>
      <c r="K319">
        <v>48</v>
      </c>
      <c r="L319">
        <v>20</v>
      </c>
      <c r="M319">
        <v>28</v>
      </c>
      <c r="N319">
        <v>11.94</v>
      </c>
      <c r="O319">
        <v>29910.720000000001</v>
      </c>
      <c r="P319" t="s">
        <v>72</v>
      </c>
      <c r="Q319">
        <v>432717.13</v>
      </c>
      <c r="R319">
        <v>29910.720000000001</v>
      </c>
      <c r="S319">
        <v>29588.31</v>
      </c>
      <c r="T319" s="1">
        <v>45574</v>
      </c>
      <c r="U319" t="s">
        <v>73</v>
      </c>
      <c r="V319">
        <v>0</v>
      </c>
      <c r="W319">
        <v>28</v>
      </c>
      <c r="X319">
        <v>28</v>
      </c>
      <c r="Y319">
        <v>0</v>
      </c>
      <c r="Z319">
        <v>0</v>
      </c>
      <c r="AA319">
        <v>0</v>
      </c>
      <c r="AB319" t="s">
        <v>164</v>
      </c>
      <c r="AC319" t="s">
        <v>279</v>
      </c>
      <c r="AD319">
        <v>2022</v>
      </c>
      <c r="AE319" t="s">
        <v>76</v>
      </c>
      <c r="AF319" t="b">
        <v>1</v>
      </c>
      <c r="AG319">
        <v>1627000</v>
      </c>
      <c r="AH319">
        <v>1089708.1200000001</v>
      </c>
      <c r="AI319">
        <v>0.69889999999999997</v>
      </c>
      <c r="AJ319">
        <v>0.40050000000000002</v>
      </c>
      <c r="AK319">
        <v>37</v>
      </c>
      <c r="AL319" t="s">
        <v>132</v>
      </c>
      <c r="AM319">
        <v>1676000</v>
      </c>
      <c r="AN319">
        <v>0.2142</v>
      </c>
      <c r="AO319">
        <v>806</v>
      </c>
      <c r="AP319">
        <v>782</v>
      </c>
      <c r="AQ319" t="s">
        <v>100</v>
      </c>
      <c r="AR319" t="s">
        <v>121</v>
      </c>
      <c r="AS319">
        <v>1</v>
      </c>
      <c r="AT319">
        <v>2.4500000000000001E-2</v>
      </c>
      <c r="AU319">
        <v>0.60219999999999996</v>
      </c>
      <c r="AV319">
        <v>451649.35</v>
      </c>
      <c r="AW319">
        <v>6663.59</v>
      </c>
      <c r="AX319" t="b">
        <v>0</v>
      </c>
      <c r="AY319" t="b">
        <v>0</v>
      </c>
      <c r="AZ319" t="s">
        <v>80</v>
      </c>
      <c r="BA319">
        <v>0</v>
      </c>
      <c r="BB319">
        <v>0</v>
      </c>
      <c r="BC319">
        <v>0</v>
      </c>
      <c r="BD319">
        <v>0</v>
      </c>
      <c r="BE319" t="s">
        <v>108</v>
      </c>
      <c r="BF319" t="b">
        <v>1</v>
      </c>
    </row>
    <row r="320" spans="1:58" x14ac:dyDescent="0.3">
      <c r="A320" t="s">
        <v>815</v>
      </c>
      <c r="B320" t="s">
        <v>67</v>
      </c>
      <c r="C320" t="s">
        <v>816</v>
      </c>
      <c r="D320" t="s">
        <v>95</v>
      </c>
      <c r="E320" t="s">
        <v>96</v>
      </c>
      <c r="F320" t="s">
        <v>86</v>
      </c>
      <c r="G320" s="1">
        <v>44802</v>
      </c>
      <c r="H320" s="1">
        <v>45596</v>
      </c>
      <c r="I320" s="1">
        <v>46242</v>
      </c>
      <c r="J320">
        <v>1698600</v>
      </c>
      <c r="K320">
        <v>48</v>
      </c>
      <c r="L320">
        <v>22</v>
      </c>
      <c r="M320">
        <v>26</v>
      </c>
      <c r="N320">
        <v>10.75</v>
      </c>
      <c r="O320">
        <v>43695.27</v>
      </c>
      <c r="P320" t="s">
        <v>116</v>
      </c>
      <c r="Q320">
        <v>737913.94</v>
      </c>
      <c r="R320">
        <v>43695.27</v>
      </c>
      <c r="S320">
        <v>42682.93</v>
      </c>
      <c r="T320" s="1">
        <v>45582</v>
      </c>
      <c r="U320" t="s">
        <v>73</v>
      </c>
      <c r="V320">
        <v>0</v>
      </c>
      <c r="W320">
        <v>26</v>
      </c>
      <c r="X320">
        <v>26</v>
      </c>
      <c r="Y320">
        <v>0</v>
      </c>
      <c r="Z320">
        <v>0</v>
      </c>
      <c r="AA320">
        <v>0</v>
      </c>
      <c r="AB320" t="s">
        <v>74</v>
      </c>
      <c r="AC320" t="s">
        <v>420</v>
      </c>
      <c r="AD320">
        <v>2019</v>
      </c>
      <c r="AE320" t="s">
        <v>166</v>
      </c>
      <c r="AF320" t="b">
        <v>0</v>
      </c>
      <c r="AG320">
        <v>2042000</v>
      </c>
      <c r="AH320">
        <v>1359894.81</v>
      </c>
      <c r="AI320">
        <v>0.83179999999999998</v>
      </c>
      <c r="AJ320">
        <v>0.5252</v>
      </c>
      <c r="AK320">
        <v>46</v>
      </c>
      <c r="AL320" t="s">
        <v>120</v>
      </c>
      <c r="AM320">
        <v>3613000</v>
      </c>
      <c r="AN320">
        <v>0.14510000000000001</v>
      </c>
      <c r="AO320">
        <v>848</v>
      </c>
      <c r="AP320">
        <v>859</v>
      </c>
      <c r="AQ320" t="s">
        <v>127</v>
      </c>
      <c r="AR320" t="s">
        <v>215</v>
      </c>
      <c r="AS320">
        <v>1</v>
      </c>
      <c r="AT320">
        <v>2.2100000000000002E-2</v>
      </c>
      <c r="AU320">
        <v>0.47339999999999999</v>
      </c>
      <c r="AV320">
        <v>767763.69</v>
      </c>
      <c r="AW320">
        <v>8032.45</v>
      </c>
      <c r="AX320" t="b">
        <v>0</v>
      </c>
      <c r="AY320" t="b">
        <v>0</v>
      </c>
      <c r="AZ320" t="s">
        <v>80</v>
      </c>
      <c r="BA320">
        <v>0</v>
      </c>
      <c r="BB320">
        <v>0</v>
      </c>
      <c r="BC320">
        <v>0</v>
      </c>
      <c r="BD320">
        <v>0</v>
      </c>
      <c r="BE320" t="s">
        <v>81</v>
      </c>
      <c r="BF320" t="b">
        <v>1</v>
      </c>
    </row>
    <row r="321" spans="1:58" x14ac:dyDescent="0.3">
      <c r="A321" t="s">
        <v>817</v>
      </c>
      <c r="B321" t="s">
        <v>67</v>
      </c>
      <c r="C321" t="s">
        <v>818</v>
      </c>
      <c r="D321" t="s">
        <v>69</v>
      </c>
      <c r="E321" t="s">
        <v>70</v>
      </c>
      <c r="F321" t="s">
        <v>124</v>
      </c>
      <c r="G321" s="1">
        <v>44290</v>
      </c>
      <c r="H321" s="1">
        <v>45596</v>
      </c>
      <c r="I321" s="1">
        <v>45370</v>
      </c>
      <c r="J321">
        <v>1309800</v>
      </c>
      <c r="K321">
        <v>36</v>
      </c>
      <c r="L321">
        <v>0</v>
      </c>
      <c r="M321">
        <v>42</v>
      </c>
      <c r="N321">
        <v>14.14</v>
      </c>
      <c r="O321">
        <v>44854.97</v>
      </c>
      <c r="P321" t="s">
        <v>72</v>
      </c>
      <c r="Q321">
        <v>0</v>
      </c>
      <c r="R321">
        <v>44854.97</v>
      </c>
      <c r="S321">
        <v>45092.480000000003</v>
      </c>
      <c r="T321" s="1">
        <v>45581</v>
      </c>
      <c r="U321" t="s">
        <v>73</v>
      </c>
      <c r="V321">
        <v>0</v>
      </c>
      <c r="W321">
        <v>42</v>
      </c>
      <c r="X321">
        <v>42</v>
      </c>
      <c r="Y321">
        <v>0</v>
      </c>
      <c r="Z321">
        <v>0</v>
      </c>
      <c r="AA321">
        <v>0</v>
      </c>
      <c r="AB321" t="s">
        <v>88</v>
      </c>
      <c r="AC321" t="s">
        <v>171</v>
      </c>
      <c r="AD321">
        <v>2021</v>
      </c>
      <c r="AE321" t="s">
        <v>90</v>
      </c>
      <c r="AF321" t="b">
        <v>1</v>
      </c>
      <c r="AG321">
        <v>1663000</v>
      </c>
      <c r="AH321">
        <v>897436.9</v>
      </c>
      <c r="AI321">
        <v>0.78759999999999997</v>
      </c>
      <c r="AJ321">
        <v>0</v>
      </c>
      <c r="AK321">
        <v>33</v>
      </c>
      <c r="AL321" t="s">
        <v>132</v>
      </c>
      <c r="AM321">
        <v>455000</v>
      </c>
      <c r="AN321">
        <v>1.1830000000000001</v>
      </c>
      <c r="AO321">
        <v>747</v>
      </c>
      <c r="AP321">
        <v>708</v>
      </c>
      <c r="AQ321" t="s">
        <v>91</v>
      </c>
      <c r="AR321" t="s">
        <v>192</v>
      </c>
      <c r="AS321">
        <v>1</v>
      </c>
      <c r="AT321">
        <v>2.4299999999999999E-2</v>
      </c>
      <c r="AU321">
        <v>0.41880000000000001</v>
      </c>
      <c r="AV321">
        <v>0</v>
      </c>
      <c r="AW321">
        <v>0</v>
      </c>
      <c r="AX321" t="b">
        <v>0</v>
      </c>
      <c r="AY321" t="b">
        <v>0</v>
      </c>
      <c r="AZ321" t="s">
        <v>80</v>
      </c>
      <c r="BA321">
        <v>0</v>
      </c>
      <c r="BB321">
        <v>0</v>
      </c>
      <c r="BC321">
        <v>0</v>
      </c>
      <c r="BD321">
        <v>0</v>
      </c>
      <c r="BE321" t="s">
        <v>81</v>
      </c>
      <c r="BF321" t="b">
        <v>1</v>
      </c>
    </row>
    <row r="322" spans="1:58" x14ac:dyDescent="0.3">
      <c r="A322" t="s">
        <v>819</v>
      </c>
      <c r="B322" t="s">
        <v>67</v>
      </c>
      <c r="C322" t="s">
        <v>820</v>
      </c>
      <c r="D322" t="s">
        <v>95</v>
      </c>
      <c r="E322" t="s">
        <v>96</v>
      </c>
      <c r="F322" t="s">
        <v>71</v>
      </c>
      <c r="G322" s="1">
        <v>44270</v>
      </c>
      <c r="H322" s="1">
        <v>45596</v>
      </c>
      <c r="I322" s="1">
        <v>45350</v>
      </c>
      <c r="J322">
        <v>639000</v>
      </c>
      <c r="K322">
        <v>36</v>
      </c>
      <c r="L322">
        <v>0</v>
      </c>
      <c r="M322">
        <v>43</v>
      </c>
      <c r="N322">
        <v>9.11</v>
      </c>
      <c r="O322">
        <v>20352.759999999998</v>
      </c>
      <c r="P322" t="s">
        <v>72</v>
      </c>
      <c r="Q322">
        <v>0</v>
      </c>
      <c r="R322">
        <v>20352.759999999998</v>
      </c>
      <c r="S322">
        <v>4919.7299999999996</v>
      </c>
      <c r="T322" s="1">
        <v>45567</v>
      </c>
      <c r="U322" t="s">
        <v>143</v>
      </c>
      <c r="V322">
        <v>32</v>
      </c>
      <c r="W322">
        <v>43</v>
      </c>
      <c r="X322">
        <v>41</v>
      </c>
      <c r="Y322">
        <v>1</v>
      </c>
      <c r="Z322">
        <v>0</v>
      </c>
      <c r="AA322">
        <v>0</v>
      </c>
      <c r="AB322" t="s">
        <v>117</v>
      </c>
      <c r="AC322" t="s">
        <v>377</v>
      </c>
      <c r="AD322">
        <v>2021</v>
      </c>
      <c r="AE322" t="s">
        <v>166</v>
      </c>
      <c r="AF322" t="b">
        <v>1</v>
      </c>
      <c r="AG322">
        <v>914000</v>
      </c>
      <c r="AH322">
        <v>416069.38</v>
      </c>
      <c r="AI322">
        <v>0.69910000000000005</v>
      </c>
      <c r="AJ322">
        <v>0</v>
      </c>
      <c r="AK322">
        <v>27</v>
      </c>
      <c r="AL322" t="s">
        <v>106</v>
      </c>
      <c r="AM322">
        <v>4177000</v>
      </c>
      <c r="AN322">
        <v>5.8500000000000003E-2</v>
      </c>
      <c r="AO322">
        <v>746</v>
      </c>
      <c r="AP322">
        <v>747</v>
      </c>
      <c r="AQ322" t="s">
        <v>100</v>
      </c>
      <c r="AR322" t="s">
        <v>101</v>
      </c>
      <c r="AS322">
        <v>2</v>
      </c>
      <c r="AT322">
        <v>0.1439</v>
      </c>
      <c r="AU322">
        <v>0.60780000000000001</v>
      </c>
      <c r="AV322">
        <v>0</v>
      </c>
      <c r="AW322">
        <v>0</v>
      </c>
      <c r="AX322" t="b">
        <v>0</v>
      </c>
      <c r="AY322" t="b">
        <v>0</v>
      </c>
      <c r="AZ322" t="s">
        <v>80</v>
      </c>
      <c r="BA322">
        <v>0</v>
      </c>
      <c r="BB322">
        <v>0</v>
      </c>
      <c r="BC322">
        <v>0</v>
      </c>
      <c r="BD322">
        <v>0</v>
      </c>
      <c r="BE322" t="s">
        <v>108</v>
      </c>
      <c r="BF322" t="b">
        <v>0</v>
      </c>
    </row>
    <row r="323" spans="1:58" x14ac:dyDescent="0.3">
      <c r="A323" t="s">
        <v>821</v>
      </c>
      <c r="B323" t="s">
        <v>67</v>
      </c>
      <c r="C323" t="s">
        <v>822</v>
      </c>
      <c r="D323" t="s">
        <v>84</v>
      </c>
      <c r="E323" t="s">
        <v>85</v>
      </c>
      <c r="F323" t="s">
        <v>115</v>
      </c>
      <c r="G323" s="1">
        <v>44738</v>
      </c>
      <c r="H323" s="1">
        <v>45596</v>
      </c>
      <c r="I323" s="1">
        <v>47258</v>
      </c>
      <c r="J323">
        <v>986300</v>
      </c>
      <c r="K323">
        <v>84</v>
      </c>
      <c r="L323">
        <v>56</v>
      </c>
      <c r="M323">
        <v>28</v>
      </c>
      <c r="N323">
        <v>9.4499999999999993</v>
      </c>
      <c r="O323">
        <v>16094.83</v>
      </c>
      <c r="P323" t="s">
        <v>72</v>
      </c>
      <c r="Q323">
        <v>619832.64</v>
      </c>
      <c r="R323">
        <v>16094.83</v>
      </c>
      <c r="S323">
        <v>15624.35</v>
      </c>
      <c r="T323" s="1">
        <v>45565</v>
      </c>
      <c r="U323" t="s">
        <v>73</v>
      </c>
      <c r="V323">
        <v>0</v>
      </c>
      <c r="W323">
        <v>28</v>
      </c>
      <c r="X323">
        <v>28</v>
      </c>
      <c r="Y323">
        <v>0</v>
      </c>
      <c r="Z323">
        <v>0</v>
      </c>
      <c r="AA323">
        <v>0</v>
      </c>
      <c r="AB323" t="s">
        <v>104</v>
      </c>
      <c r="AC323" t="s">
        <v>156</v>
      </c>
      <c r="AD323">
        <v>2022</v>
      </c>
      <c r="AE323" t="s">
        <v>166</v>
      </c>
      <c r="AF323" t="b">
        <v>1</v>
      </c>
      <c r="AG323">
        <v>1051000</v>
      </c>
      <c r="AH323">
        <v>710901.43</v>
      </c>
      <c r="AI323">
        <v>0.93840000000000001</v>
      </c>
      <c r="AJ323">
        <v>0.88819999999999999</v>
      </c>
      <c r="AK323">
        <v>58</v>
      </c>
      <c r="AL323" t="s">
        <v>77</v>
      </c>
      <c r="AM323">
        <v>2097000</v>
      </c>
      <c r="AN323">
        <v>9.2100000000000001E-2</v>
      </c>
      <c r="AO323">
        <v>777</v>
      </c>
      <c r="AP323">
        <v>777</v>
      </c>
      <c r="AQ323" t="s">
        <v>91</v>
      </c>
      <c r="AR323" t="s">
        <v>252</v>
      </c>
      <c r="AS323">
        <v>1</v>
      </c>
      <c r="AT323">
        <v>2.1700000000000001E-2</v>
      </c>
      <c r="AU323">
        <v>0.44969999999999999</v>
      </c>
      <c r="AV323">
        <v>644925.97</v>
      </c>
      <c r="AW323">
        <v>6293.5</v>
      </c>
      <c r="AX323" t="b">
        <v>0</v>
      </c>
      <c r="AY323" t="b">
        <v>0</v>
      </c>
      <c r="AZ323" t="s">
        <v>80</v>
      </c>
      <c r="BA323">
        <v>0</v>
      </c>
      <c r="BB323">
        <v>0</v>
      </c>
      <c r="BC323">
        <v>0</v>
      </c>
      <c r="BD323">
        <v>0</v>
      </c>
      <c r="BE323" t="s">
        <v>81</v>
      </c>
      <c r="BF323" t="b">
        <v>1</v>
      </c>
    </row>
    <row r="324" spans="1:58" x14ac:dyDescent="0.3">
      <c r="A324" t="s">
        <v>823</v>
      </c>
      <c r="B324" t="s">
        <v>67</v>
      </c>
      <c r="C324" t="s">
        <v>824</v>
      </c>
      <c r="D324" t="s">
        <v>95</v>
      </c>
      <c r="E324" t="s">
        <v>96</v>
      </c>
      <c r="F324" t="s">
        <v>124</v>
      </c>
      <c r="G324" s="1">
        <v>44368</v>
      </c>
      <c r="H324" s="1">
        <v>45596</v>
      </c>
      <c r="I324" s="1">
        <v>45808</v>
      </c>
      <c r="J324">
        <v>1978200</v>
      </c>
      <c r="K324">
        <v>48</v>
      </c>
      <c r="L324">
        <v>8</v>
      </c>
      <c r="M324">
        <v>40</v>
      </c>
      <c r="N324">
        <v>7.91</v>
      </c>
      <c r="O324">
        <v>48210.12</v>
      </c>
      <c r="P324" t="s">
        <v>72</v>
      </c>
      <c r="Q324">
        <v>321131.96999999997</v>
      </c>
      <c r="R324">
        <v>48210.12</v>
      </c>
      <c r="S324">
        <v>2989.2</v>
      </c>
      <c r="T324" s="1">
        <v>45588</v>
      </c>
      <c r="U324" t="s">
        <v>143</v>
      </c>
      <c r="V324">
        <v>52</v>
      </c>
      <c r="W324">
        <v>40</v>
      </c>
      <c r="X324">
        <v>35</v>
      </c>
      <c r="Y324">
        <v>2</v>
      </c>
      <c r="Z324">
        <v>2</v>
      </c>
      <c r="AA324">
        <v>0</v>
      </c>
      <c r="AB324" t="s">
        <v>208</v>
      </c>
      <c r="AC324" t="s">
        <v>636</v>
      </c>
      <c r="AD324">
        <v>2021</v>
      </c>
      <c r="AE324" t="s">
        <v>166</v>
      </c>
      <c r="AF324" t="b">
        <v>1</v>
      </c>
      <c r="AG324">
        <v>2213000</v>
      </c>
      <c r="AH324">
        <v>1209882.99</v>
      </c>
      <c r="AI324">
        <v>0.89390000000000003</v>
      </c>
      <c r="AJ324">
        <v>0.27910000000000001</v>
      </c>
      <c r="AK324">
        <v>44</v>
      </c>
      <c r="AL324" t="s">
        <v>106</v>
      </c>
      <c r="AM324">
        <v>761000</v>
      </c>
      <c r="AN324">
        <v>0.76019999999999999</v>
      </c>
      <c r="AO324">
        <v>826</v>
      </c>
      <c r="AP324">
        <v>848</v>
      </c>
      <c r="AQ324" t="s">
        <v>78</v>
      </c>
      <c r="AR324" t="s">
        <v>133</v>
      </c>
      <c r="AS324">
        <v>2</v>
      </c>
      <c r="AT324">
        <v>0.121</v>
      </c>
      <c r="AU324">
        <v>0.60760000000000003</v>
      </c>
      <c r="AV324">
        <v>337072.24</v>
      </c>
      <c r="AW324">
        <v>24781.42</v>
      </c>
      <c r="AX324" t="b">
        <v>0</v>
      </c>
      <c r="AY324" t="b">
        <v>0</v>
      </c>
      <c r="AZ324" t="s">
        <v>80</v>
      </c>
      <c r="BA324">
        <v>0</v>
      </c>
      <c r="BB324">
        <v>0</v>
      </c>
      <c r="BC324">
        <v>0</v>
      </c>
      <c r="BD324">
        <v>0</v>
      </c>
      <c r="BE324" t="s">
        <v>108</v>
      </c>
      <c r="BF324" t="b">
        <v>1</v>
      </c>
    </row>
    <row r="325" spans="1:58" x14ac:dyDescent="0.3">
      <c r="A325" t="s">
        <v>825</v>
      </c>
      <c r="B325" t="s">
        <v>67</v>
      </c>
      <c r="C325" t="s">
        <v>826</v>
      </c>
      <c r="D325" t="s">
        <v>95</v>
      </c>
      <c r="E325" t="s">
        <v>96</v>
      </c>
      <c r="F325" t="s">
        <v>71</v>
      </c>
      <c r="G325" s="1">
        <v>44528</v>
      </c>
      <c r="H325" s="1">
        <v>45596</v>
      </c>
      <c r="I325" s="1">
        <v>46688</v>
      </c>
      <c r="J325">
        <v>2014000</v>
      </c>
      <c r="K325">
        <v>72</v>
      </c>
      <c r="L325">
        <v>37</v>
      </c>
      <c r="M325">
        <v>35</v>
      </c>
      <c r="N325">
        <v>10.97</v>
      </c>
      <c r="O325">
        <v>38303.699999999997</v>
      </c>
      <c r="P325" t="s">
        <v>72</v>
      </c>
      <c r="Q325">
        <v>1028684.49</v>
      </c>
      <c r="R325">
        <v>38303.699999999997</v>
      </c>
      <c r="S325">
        <v>38377.93</v>
      </c>
      <c r="T325" s="1">
        <v>45580</v>
      </c>
      <c r="U325" t="s">
        <v>73</v>
      </c>
      <c r="V325">
        <v>0</v>
      </c>
      <c r="W325">
        <v>35</v>
      </c>
      <c r="X325">
        <v>35</v>
      </c>
      <c r="Y325">
        <v>0</v>
      </c>
      <c r="Z325">
        <v>0</v>
      </c>
      <c r="AA325">
        <v>0</v>
      </c>
      <c r="AB325" t="s">
        <v>97</v>
      </c>
      <c r="AC325" t="s">
        <v>98</v>
      </c>
      <c r="AD325">
        <v>2021</v>
      </c>
      <c r="AE325" t="s">
        <v>166</v>
      </c>
      <c r="AF325" t="b">
        <v>1</v>
      </c>
      <c r="AG325">
        <v>3148000</v>
      </c>
      <c r="AH325">
        <v>1815655.48</v>
      </c>
      <c r="AI325">
        <v>0.63980000000000004</v>
      </c>
      <c r="AJ325">
        <v>0.56340000000000001</v>
      </c>
      <c r="AK325">
        <v>55</v>
      </c>
      <c r="AL325" t="s">
        <v>77</v>
      </c>
      <c r="AM325">
        <v>3820000</v>
      </c>
      <c r="AN325">
        <v>0.1203</v>
      </c>
      <c r="AO325">
        <v>790</v>
      </c>
      <c r="AP325">
        <v>793</v>
      </c>
      <c r="AQ325" t="s">
        <v>127</v>
      </c>
      <c r="AR325" t="s">
        <v>128</v>
      </c>
      <c r="AS325">
        <v>1</v>
      </c>
      <c r="AT325">
        <v>1.5699999999999999E-2</v>
      </c>
      <c r="AU325">
        <v>0.50700000000000001</v>
      </c>
      <c r="AV325">
        <v>1039200.83</v>
      </c>
      <c r="AW325">
        <v>8271.93</v>
      </c>
      <c r="AX325" t="b">
        <v>0</v>
      </c>
      <c r="AY325" t="b">
        <v>0</v>
      </c>
      <c r="AZ325" t="s">
        <v>80</v>
      </c>
      <c r="BA325">
        <v>0</v>
      </c>
      <c r="BB325">
        <v>0</v>
      </c>
      <c r="BC325">
        <v>0</v>
      </c>
      <c r="BD325">
        <v>0</v>
      </c>
      <c r="BE325" t="s">
        <v>108</v>
      </c>
      <c r="BF325" t="b">
        <v>0</v>
      </c>
    </row>
    <row r="326" spans="1:58" x14ac:dyDescent="0.3">
      <c r="A326" t="s">
        <v>827</v>
      </c>
      <c r="B326" t="s">
        <v>67</v>
      </c>
      <c r="C326" t="s">
        <v>828</v>
      </c>
      <c r="D326" t="s">
        <v>69</v>
      </c>
      <c r="E326" t="s">
        <v>70</v>
      </c>
      <c r="F326" t="s">
        <v>86</v>
      </c>
      <c r="G326" s="1">
        <v>44628</v>
      </c>
      <c r="H326" s="1">
        <v>45596</v>
      </c>
      <c r="I326" s="1">
        <v>46068</v>
      </c>
      <c r="J326">
        <v>616700</v>
      </c>
      <c r="K326">
        <v>48</v>
      </c>
      <c r="L326">
        <v>17</v>
      </c>
      <c r="M326">
        <v>31</v>
      </c>
      <c r="N326">
        <v>10.79</v>
      </c>
      <c r="O326">
        <v>15876.11</v>
      </c>
      <c r="P326" t="s">
        <v>72</v>
      </c>
      <c r="Q326">
        <v>229116.14</v>
      </c>
      <c r="R326">
        <v>15876.11</v>
      </c>
      <c r="S326">
        <v>16010.21</v>
      </c>
      <c r="T326" s="1">
        <v>45577</v>
      </c>
      <c r="U326" t="s">
        <v>73</v>
      </c>
      <c r="V326">
        <v>0</v>
      </c>
      <c r="W326">
        <v>31</v>
      </c>
      <c r="X326">
        <v>31</v>
      </c>
      <c r="Y326">
        <v>0</v>
      </c>
      <c r="Z326">
        <v>0</v>
      </c>
      <c r="AA326">
        <v>0</v>
      </c>
      <c r="AB326" t="s">
        <v>111</v>
      </c>
      <c r="AC326" t="s">
        <v>228</v>
      </c>
      <c r="AD326">
        <v>2022</v>
      </c>
      <c r="AE326" t="s">
        <v>166</v>
      </c>
      <c r="AF326" t="b">
        <v>1</v>
      </c>
      <c r="AG326">
        <v>827000</v>
      </c>
      <c r="AH326">
        <v>505569.67</v>
      </c>
      <c r="AI326">
        <v>0.74570000000000003</v>
      </c>
      <c r="AJ326">
        <v>0.44119999999999998</v>
      </c>
      <c r="AK326">
        <v>43</v>
      </c>
      <c r="AL326" t="s">
        <v>77</v>
      </c>
      <c r="AM326">
        <v>1237000</v>
      </c>
      <c r="AN326">
        <v>0.154</v>
      </c>
      <c r="AO326">
        <v>674</v>
      </c>
      <c r="AP326">
        <v>692</v>
      </c>
      <c r="AQ326" t="s">
        <v>127</v>
      </c>
      <c r="AR326" t="s">
        <v>185</v>
      </c>
      <c r="AS326">
        <v>1</v>
      </c>
      <c r="AT326">
        <v>2.1499999999999998E-2</v>
      </c>
      <c r="AU326">
        <v>0.62839999999999996</v>
      </c>
      <c r="AV326">
        <v>232261.68</v>
      </c>
      <c r="AW326">
        <v>3137.99</v>
      </c>
      <c r="AX326" t="b">
        <v>0</v>
      </c>
      <c r="AY326" t="b">
        <v>0</v>
      </c>
      <c r="AZ326" t="s">
        <v>80</v>
      </c>
      <c r="BA326">
        <v>0</v>
      </c>
      <c r="BB326">
        <v>0</v>
      </c>
      <c r="BC326">
        <v>0</v>
      </c>
      <c r="BD326">
        <v>0</v>
      </c>
      <c r="BE326" t="s">
        <v>108</v>
      </c>
      <c r="BF326" t="b">
        <v>0</v>
      </c>
    </row>
    <row r="327" spans="1:58" x14ac:dyDescent="0.3">
      <c r="A327" t="s">
        <v>829</v>
      </c>
      <c r="B327" t="s">
        <v>67</v>
      </c>
      <c r="C327" t="s">
        <v>830</v>
      </c>
      <c r="D327" t="s">
        <v>84</v>
      </c>
      <c r="E327" t="s">
        <v>85</v>
      </c>
      <c r="F327" t="s">
        <v>71</v>
      </c>
      <c r="G327" s="1">
        <v>45022</v>
      </c>
      <c r="H327" s="1">
        <v>45596</v>
      </c>
      <c r="I327" s="1">
        <v>46462</v>
      </c>
      <c r="J327">
        <v>462600</v>
      </c>
      <c r="K327">
        <v>48</v>
      </c>
      <c r="L327">
        <v>30</v>
      </c>
      <c r="M327">
        <v>18</v>
      </c>
      <c r="N327">
        <v>9.4600000000000009</v>
      </c>
      <c r="O327">
        <v>11613.13</v>
      </c>
      <c r="P327" t="s">
        <v>72</v>
      </c>
      <c r="Q327">
        <v>271615.78000000003</v>
      </c>
      <c r="R327">
        <v>11613.13</v>
      </c>
      <c r="S327">
        <v>1272.57</v>
      </c>
      <c r="T327" s="1">
        <v>45568</v>
      </c>
      <c r="U327" t="s">
        <v>140</v>
      </c>
      <c r="V327">
        <v>352</v>
      </c>
      <c r="W327">
        <v>18</v>
      </c>
      <c r="X327">
        <v>15</v>
      </c>
      <c r="Y327">
        <v>0</v>
      </c>
      <c r="Z327">
        <v>0</v>
      </c>
      <c r="AA327">
        <v>0</v>
      </c>
      <c r="AB327" t="s">
        <v>88</v>
      </c>
      <c r="AC327" t="s">
        <v>181</v>
      </c>
      <c r="AD327">
        <v>2023</v>
      </c>
      <c r="AE327" t="s">
        <v>76</v>
      </c>
      <c r="AF327" t="b">
        <v>1</v>
      </c>
      <c r="AG327">
        <v>708000</v>
      </c>
      <c r="AH327">
        <v>546790.96</v>
      </c>
      <c r="AI327">
        <v>0.65329999999999999</v>
      </c>
      <c r="AJ327">
        <v>0.48930000000000001</v>
      </c>
      <c r="AK327">
        <v>31</v>
      </c>
      <c r="AL327" t="s">
        <v>120</v>
      </c>
      <c r="AM327">
        <v>1852000</v>
      </c>
      <c r="AN327">
        <v>7.5200000000000003E-2</v>
      </c>
      <c r="AO327">
        <v>847</v>
      </c>
      <c r="AP327">
        <v>872</v>
      </c>
      <c r="AQ327" t="s">
        <v>78</v>
      </c>
      <c r="AR327" t="s">
        <v>133</v>
      </c>
      <c r="AS327">
        <v>3</v>
      </c>
      <c r="AT327">
        <v>0.66810000000000003</v>
      </c>
      <c r="AU327">
        <v>0.49259999999999998</v>
      </c>
      <c r="AV327">
        <v>271619.13</v>
      </c>
      <c r="AW327">
        <v>89391.5</v>
      </c>
      <c r="AX327" t="b">
        <v>0</v>
      </c>
      <c r="AY327" t="b">
        <v>0</v>
      </c>
      <c r="AZ327" t="s">
        <v>80</v>
      </c>
      <c r="BA327">
        <v>0</v>
      </c>
      <c r="BB327">
        <v>0</v>
      </c>
      <c r="BC327">
        <v>0</v>
      </c>
      <c r="BD327">
        <v>0</v>
      </c>
      <c r="BE327" t="s">
        <v>108</v>
      </c>
      <c r="BF327" t="b">
        <v>0</v>
      </c>
    </row>
    <row r="328" spans="1:58" x14ac:dyDescent="0.3">
      <c r="A328" t="s">
        <v>831</v>
      </c>
      <c r="B328" t="s">
        <v>67</v>
      </c>
      <c r="C328" t="s">
        <v>832</v>
      </c>
      <c r="D328" t="s">
        <v>95</v>
      </c>
      <c r="E328" t="s">
        <v>96</v>
      </c>
      <c r="F328" t="s">
        <v>86</v>
      </c>
      <c r="G328" s="1">
        <v>45163</v>
      </c>
      <c r="H328" s="1">
        <v>45596</v>
      </c>
      <c r="I328" s="1">
        <v>47323</v>
      </c>
      <c r="J328">
        <v>409400</v>
      </c>
      <c r="K328">
        <v>72</v>
      </c>
      <c r="L328">
        <v>58</v>
      </c>
      <c r="M328">
        <v>14</v>
      </c>
      <c r="N328">
        <v>12.44</v>
      </c>
      <c r="O328">
        <v>8097.83</v>
      </c>
      <c r="P328" t="s">
        <v>72</v>
      </c>
      <c r="Q328">
        <v>314376.14</v>
      </c>
      <c r="R328">
        <v>8097.83</v>
      </c>
      <c r="S328">
        <v>7866.05</v>
      </c>
      <c r="T328" s="1">
        <v>45561</v>
      </c>
      <c r="U328" t="s">
        <v>73</v>
      </c>
      <c r="V328">
        <v>0</v>
      </c>
      <c r="W328">
        <v>14</v>
      </c>
      <c r="X328">
        <v>14</v>
      </c>
      <c r="Y328">
        <v>0</v>
      </c>
      <c r="Z328">
        <v>0</v>
      </c>
      <c r="AA328">
        <v>0</v>
      </c>
      <c r="AB328" t="s">
        <v>111</v>
      </c>
      <c r="AC328" t="s">
        <v>112</v>
      </c>
      <c r="AD328">
        <v>2023</v>
      </c>
      <c r="AE328" t="s">
        <v>99</v>
      </c>
      <c r="AF328" t="b">
        <v>1</v>
      </c>
      <c r="AG328">
        <v>555000</v>
      </c>
      <c r="AH328">
        <v>496511.58</v>
      </c>
      <c r="AI328">
        <v>0.73760000000000003</v>
      </c>
      <c r="AJ328">
        <v>0.68079999999999996</v>
      </c>
      <c r="AK328">
        <v>56</v>
      </c>
      <c r="AL328" t="s">
        <v>106</v>
      </c>
      <c r="AM328">
        <v>4486000</v>
      </c>
      <c r="AN328">
        <v>2.1700000000000001E-2</v>
      </c>
      <c r="AO328">
        <v>704</v>
      </c>
      <c r="AP328">
        <v>675</v>
      </c>
      <c r="AQ328" t="s">
        <v>91</v>
      </c>
      <c r="AR328" t="s">
        <v>252</v>
      </c>
      <c r="AS328">
        <v>1</v>
      </c>
      <c r="AT328">
        <v>1.61E-2</v>
      </c>
      <c r="AU328">
        <v>0.60980000000000001</v>
      </c>
      <c r="AV328">
        <v>327821.57</v>
      </c>
      <c r="AW328">
        <v>3218.48</v>
      </c>
      <c r="AX328" t="b">
        <v>0</v>
      </c>
      <c r="AY328" t="b">
        <v>0</v>
      </c>
      <c r="AZ328" t="s">
        <v>80</v>
      </c>
      <c r="BA328">
        <v>0</v>
      </c>
      <c r="BB328">
        <v>0</v>
      </c>
      <c r="BC328">
        <v>0</v>
      </c>
      <c r="BD328">
        <v>0</v>
      </c>
      <c r="BE328" t="s">
        <v>134</v>
      </c>
      <c r="BF328" t="b">
        <v>1</v>
      </c>
    </row>
    <row r="329" spans="1:58" x14ac:dyDescent="0.3">
      <c r="A329" t="s">
        <v>833</v>
      </c>
      <c r="B329" t="s">
        <v>67</v>
      </c>
      <c r="C329" t="s">
        <v>834</v>
      </c>
      <c r="D329" t="s">
        <v>84</v>
      </c>
      <c r="E329" t="s">
        <v>85</v>
      </c>
      <c r="F329" t="s">
        <v>124</v>
      </c>
      <c r="G329" s="1">
        <v>44588</v>
      </c>
      <c r="H329" s="1">
        <v>45596</v>
      </c>
      <c r="I329" s="1">
        <v>46028</v>
      </c>
      <c r="J329">
        <v>374800</v>
      </c>
      <c r="K329">
        <v>48</v>
      </c>
      <c r="L329">
        <v>15</v>
      </c>
      <c r="M329">
        <v>33</v>
      </c>
      <c r="N329">
        <v>7.54</v>
      </c>
      <c r="O329">
        <v>9069.25</v>
      </c>
      <c r="P329" t="s">
        <v>72</v>
      </c>
      <c r="Q329">
        <v>110865.68</v>
      </c>
      <c r="R329">
        <v>9069.25</v>
      </c>
      <c r="S329">
        <v>9296.51</v>
      </c>
      <c r="T329" s="1">
        <v>45590</v>
      </c>
      <c r="U329" t="s">
        <v>73</v>
      </c>
      <c r="V329">
        <v>0</v>
      </c>
      <c r="W329">
        <v>33</v>
      </c>
      <c r="X329">
        <v>33</v>
      </c>
      <c r="Y329">
        <v>0</v>
      </c>
      <c r="Z329">
        <v>0</v>
      </c>
      <c r="AA329">
        <v>0</v>
      </c>
      <c r="AB329" t="s">
        <v>174</v>
      </c>
      <c r="AC329" t="s">
        <v>423</v>
      </c>
      <c r="AD329">
        <v>2022</v>
      </c>
      <c r="AE329" t="s">
        <v>99</v>
      </c>
      <c r="AF329" t="b">
        <v>1</v>
      </c>
      <c r="AG329">
        <v>516000</v>
      </c>
      <c r="AH329">
        <v>282878.31</v>
      </c>
      <c r="AI329">
        <v>0.72629999999999995</v>
      </c>
      <c r="AJ329">
        <v>0.35570000000000002</v>
      </c>
      <c r="AK329">
        <v>47</v>
      </c>
      <c r="AL329" t="s">
        <v>106</v>
      </c>
      <c r="AM329">
        <v>657000</v>
      </c>
      <c r="AN329">
        <v>0.1656</v>
      </c>
      <c r="AO329">
        <v>719</v>
      </c>
      <c r="AP329">
        <v>673</v>
      </c>
      <c r="AQ329" t="s">
        <v>91</v>
      </c>
      <c r="AR329" t="s">
        <v>252</v>
      </c>
      <c r="AS329">
        <v>1</v>
      </c>
      <c r="AT329">
        <v>2.5999999999999999E-2</v>
      </c>
      <c r="AU329">
        <v>0.53969999999999996</v>
      </c>
      <c r="AV329">
        <v>113583.55</v>
      </c>
      <c r="AW329">
        <v>1593.83</v>
      </c>
      <c r="AX329" t="b">
        <v>0</v>
      </c>
      <c r="AY329" t="b">
        <v>0</v>
      </c>
      <c r="AZ329" t="s">
        <v>80</v>
      </c>
      <c r="BA329">
        <v>0</v>
      </c>
      <c r="BB329">
        <v>0</v>
      </c>
      <c r="BC329">
        <v>0</v>
      </c>
      <c r="BD329">
        <v>0</v>
      </c>
      <c r="BE329" t="s">
        <v>108</v>
      </c>
      <c r="BF329" t="b">
        <v>0</v>
      </c>
    </row>
    <row r="330" spans="1:58" x14ac:dyDescent="0.3">
      <c r="A330" t="s">
        <v>835</v>
      </c>
      <c r="B330" t="s">
        <v>67</v>
      </c>
      <c r="C330" t="s">
        <v>836</v>
      </c>
      <c r="D330" t="s">
        <v>84</v>
      </c>
      <c r="E330" t="s">
        <v>85</v>
      </c>
      <c r="F330" t="s">
        <v>124</v>
      </c>
      <c r="G330" s="1">
        <v>44256</v>
      </c>
      <c r="H330" s="1">
        <v>45596</v>
      </c>
      <c r="I330" s="1">
        <v>46416</v>
      </c>
      <c r="J330">
        <v>1175200</v>
      </c>
      <c r="K330">
        <v>72</v>
      </c>
      <c r="L330">
        <v>29</v>
      </c>
      <c r="M330">
        <v>43</v>
      </c>
      <c r="N330">
        <v>13.34</v>
      </c>
      <c r="O330">
        <v>23802.5</v>
      </c>
      <c r="P330" t="s">
        <v>72</v>
      </c>
      <c r="Q330">
        <v>434489.5</v>
      </c>
      <c r="R330">
        <v>23802.5</v>
      </c>
      <c r="S330">
        <v>2808.96</v>
      </c>
      <c r="T330" s="1">
        <v>45579</v>
      </c>
      <c r="U330" t="s">
        <v>87</v>
      </c>
      <c r="V330">
        <v>28</v>
      </c>
      <c r="W330">
        <v>43</v>
      </c>
      <c r="X330">
        <v>42</v>
      </c>
      <c r="Y330">
        <v>2</v>
      </c>
      <c r="Z330">
        <v>0</v>
      </c>
      <c r="AA330">
        <v>0</v>
      </c>
      <c r="AB330" t="s">
        <v>104</v>
      </c>
      <c r="AC330" t="s">
        <v>105</v>
      </c>
      <c r="AD330">
        <v>2021</v>
      </c>
      <c r="AE330" t="s">
        <v>76</v>
      </c>
      <c r="AF330" t="b">
        <v>1</v>
      </c>
      <c r="AG330">
        <v>1819000</v>
      </c>
      <c r="AH330">
        <v>807141.54</v>
      </c>
      <c r="AI330">
        <v>0.64610000000000001</v>
      </c>
      <c r="AJ330">
        <v>0.49349999999999999</v>
      </c>
      <c r="AK330">
        <v>28</v>
      </c>
      <c r="AL330" t="s">
        <v>106</v>
      </c>
      <c r="AM330">
        <v>2994000</v>
      </c>
      <c r="AN330">
        <v>9.5399999999999999E-2</v>
      </c>
      <c r="AO330">
        <v>699</v>
      </c>
      <c r="AP330">
        <v>727</v>
      </c>
      <c r="AQ330" t="s">
        <v>145</v>
      </c>
      <c r="AR330" t="s">
        <v>157</v>
      </c>
      <c r="AS330">
        <v>1</v>
      </c>
      <c r="AT330">
        <v>1.9E-2</v>
      </c>
      <c r="AU330">
        <v>0.55030000000000001</v>
      </c>
      <c r="AV330">
        <v>435825.19</v>
      </c>
      <c r="AW330">
        <v>4556.8599999999997</v>
      </c>
      <c r="AX330" t="b">
        <v>0</v>
      </c>
      <c r="AY330" t="b">
        <v>0</v>
      </c>
      <c r="AZ330" t="s">
        <v>80</v>
      </c>
      <c r="BA330">
        <v>0</v>
      </c>
      <c r="BB330">
        <v>0</v>
      </c>
      <c r="BC330">
        <v>0</v>
      </c>
      <c r="BD330">
        <v>0</v>
      </c>
      <c r="BE330" t="s">
        <v>108</v>
      </c>
      <c r="BF330" t="b">
        <v>0</v>
      </c>
    </row>
    <row r="331" spans="1:58" x14ac:dyDescent="0.3">
      <c r="A331" t="s">
        <v>837</v>
      </c>
      <c r="B331" t="s">
        <v>67</v>
      </c>
      <c r="C331" t="s">
        <v>838</v>
      </c>
      <c r="D331" t="s">
        <v>69</v>
      </c>
      <c r="E331" t="s">
        <v>70</v>
      </c>
      <c r="F331" t="s">
        <v>71</v>
      </c>
      <c r="G331" s="1">
        <v>45105</v>
      </c>
      <c r="H331" s="1">
        <v>45596</v>
      </c>
      <c r="I331" s="1">
        <v>46185</v>
      </c>
      <c r="J331">
        <v>945700</v>
      </c>
      <c r="K331">
        <v>36</v>
      </c>
      <c r="L331">
        <v>20</v>
      </c>
      <c r="M331">
        <v>16</v>
      </c>
      <c r="N331">
        <v>9.68</v>
      </c>
      <c r="O331">
        <v>30373.200000000001</v>
      </c>
      <c r="P331" t="s">
        <v>72</v>
      </c>
      <c r="Q331">
        <v>517026.75</v>
      </c>
      <c r="R331">
        <v>30373.200000000001</v>
      </c>
      <c r="S331">
        <v>29603.94</v>
      </c>
      <c r="T331" s="1">
        <v>45584</v>
      </c>
      <c r="U331" t="s">
        <v>73</v>
      </c>
      <c r="V331">
        <v>0</v>
      </c>
      <c r="W331">
        <v>16</v>
      </c>
      <c r="X331">
        <v>16</v>
      </c>
      <c r="Y331">
        <v>0</v>
      </c>
      <c r="Z331">
        <v>0</v>
      </c>
      <c r="AA331">
        <v>0</v>
      </c>
      <c r="AB331" t="s">
        <v>117</v>
      </c>
      <c r="AC331" t="s">
        <v>621</v>
      </c>
      <c r="AD331">
        <v>2023</v>
      </c>
      <c r="AE331" t="s">
        <v>90</v>
      </c>
      <c r="AF331" t="b">
        <v>1</v>
      </c>
      <c r="AG331">
        <v>1150000</v>
      </c>
      <c r="AH331">
        <v>975178.38</v>
      </c>
      <c r="AI331">
        <v>0.82240000000000002</v>
      </c>
      <c r="AJ331">
        <v>0.55640000000000001</v>
      </c>
      <c r="AK331">
        <v>44</v>
      </c>
      <c r="AL331" t="s">
        <v>120</v>
      </c>
      <c r="AM331">
        <v>2970000</v>
      </c>
      <c r="AN331">
        <v>0.1227</v>
      </c>
      <c r="AO331">
        <v>828</v>
      </c>
      <c r="AP331">
        <v>789</v>
      </c>
      <c r="AQ331" t="s">
        <v>78</v>
      </c>
      <c r="AR331" t="s">
        <v>133</v>
      </c>
      <c r="AS331">
        <v>1</v>
      </c>
      <c r="AT331">
        <v>2.35E-2</v>
      </c>
      <c r="AU331">
        <v>0.4153</v>
      </c>
      <c r="AV331">
        <v>526708.84</v>
      </c>
      <c r="AW331">
        <v>5140.4399999999996</v>
      </c>
      <c r="AX331" t="b">
        <v>0</v>
      </c>
      <c r="AY331" t="b">
        <v>0</v>
      </c>
      <c r="AZ331" t="s">
        <v>80</v>
      </c>
      <c r="BA331">
        <v>0</v>
      </c>
      <c r="BB331">
        <v>0</v>
      </c>
      <c r="BC331">
        <v>0</v>
      </c>
      <c r="BD331">
        <v>0</v>
      </c>
      <c r="BE331" t="s">
        <v>108</v>
      </c>
      <c r="BF331" t="b">
        <v>0</v>
      </c>
    </row>
    <row r="332" spans="1:58" x14ac:dyDescent="0.3">
      <c r="A332" t="s">
        <v>839</v>
      </c>
      <c r="B332" t="s">
        <v>67</v>
      </c>
      <c r="C332" t="s">
        <v>840</v>
      </c>
      <c r="D332" t="s">
        <v>84</v>
      </c>
      <c r="E332" t="s">
        <v>85</v>
      </c>
      <c r="F332" t="s">
        <v>71</v>
      </c>
      <c r="G332" s="1">
        <v>44468</v>
      </c>
      <c r="H332" s="1">
        <v>45596</v>
      </c>
      <c r="I332" s="1">
        <v>46268</v>
      </c>
      <c r="J332">
        <v>831600</v>
      </c>
      <c r="K332">
        <v>60</v>
      </c>
      <c r="L332">
        <v>23</v>
      </c>
      <c r="M332">
        <v>37</v>
      </c>
      <c r="N332">
        <v>10.4</v>
      </c>
      <c r="O332">
        <v>17833.16</v>
      </c>
      <c r="P332" t="s">
        <v>72</v>
      </c>
      <c r="Q332">
        <v>326842.36</v>
      </c>
      <c r="R332">
        <v>17833.16</v>
      </c>
      <c r="S332">
        <v>17715.2</v>
      </c>
      <c r="T332" s="1">
        <v>45578</v>
      </c>
      <c r="U332" t="s">
        <v>73</v>
      </c>
      <c r="V332">
        <v>0</v>
      </c>
      <c r="W332">
        <v>37</v>
      </c>
      <c r="X332">
        <v>37</v>
      </c>
      <c r="Y332">
        <v>0</v>
      </c>
      <c r="Z332">
        <v>0</v>
      </c>
      <c r="AA332">
        <v>0</v>
      </c>
      <c r="AB332" t="s">
        <v>88</v>
      </c>
      <c r="AC332" t="s">
        <v>89</v>
      </c>
      <c r="AD332">
        <v>2021</v>
      </c>
      <c r="AE332" t="s">
        <v>119</v>
      </c>
      <c r="AF332" t="b">
        <v>1</v>
      </c>
      <c r="AG332">
        <v>1281000</v>
      </c>
      <c r="AH332">
        <v>670562.64</v>
      </c>
      <c r="AI332">
        <v>0.64910000000000001</v>
      </c>
      <c r="AJ332">
        <v>0.45889999999999997</v>
      </c>
      <c r="AK332">
        <v>37</v>
      </c>
      <c r="AL332" t="s">
        <v>77</v>
      </c>
      <c r="AM332">
        <v>4903000</v>
      </c>
      <c r="AN332">
        <v>4.36E-2</v>
      </c>
      <c r="AO332">
        <v>716</v>
      </c>
      <c r="AP332">
        <v>722</v>
      </c>
      <c r="AQ332" t="s">
        <v>91</v>
      </c>
      <c r="AR332" t="s">
        <v>92</v>
      </c>
      <c r="AS332">
        <v>1</v>
      </c>
      <c r="AT332">
        <v>1.44E-2</v>
      </c>
      <c r="AU332">
        <v>0.60040000000000004</v>
      </c>
      <c r="AV332">
        <v>333145.2</v>
      </c>
      <c r="AW332">
        <v>2880.29</v>
      </c>
      <c r="AX332" t="b">
        <v>0</v>
      </c>
      <c r="AY332" t="b">
        <v>0</v>
      </c>
      <c r="AZ332" t="s">
        <v>80</v>
      </c>
      <c r="BA332">
        <v>0</v>
      </c>
      <c r="BB332">
        <v>0</v>
      </c>
      <c r="BC332">
        <v>0</v>
      </c>
      <c r="BD332">
        <v>0</v>
      </c>
      <c r="BE332" t="s">
        <v>108</v>
      </c>
      <c r="BF332" t="b">
        <v>1</v>
      </c>
    </row>
    <row r="333" spans="1:58" x14ac:dyDescent="0.3">
      <c r="A333" t="s">
        <v>841</v>
      </c>
      <c r="B333" t="s">
        <v>67</v>
      </c>
      <c r="C333" t="s">
        <v>842</v>
      </c>
      <c r="D333" t="s">
        <v>95</v>
      </c>
      <c r="E333" t="s">
        <v>96</v>
      </c>
      <c r="F333" t="s">
        <v>71</v>
      </c>
      <c r="G333" s="1">
        <v>45228</v>
      </c>
      <c r="H333" s="1">
        <v>45596</v>
      </c>
      <c r="I333" s="1">
        <v>47388</v>
      </c>
      <c r="J333">
        <v>740900</v>
      </c>
      <c r="K333">
        <v>72</v>
      </c>
      <c r="L333">
        <v>60</v>
      </c>
      <c r="M333">
        <v>12</v>
      </c>
      <c r="N333">
        <v>8.48</v>
      </c>
      <c r="O333">
        <v>13164.71</v>
      </c>
      <c r="P333" t="s">
        <v>116</v>
      </c>
      <c r="Q333">
        <v>610021.93999999994</v>
      </c>
      <c r="R333">
        <v>13164.71</v>
      </c>
      <c r="S333">
        <v>4205.6899999999996</v>
      </c>
      <c r="T333" s="1">
        <v>45581</v>
      </c>
      <c r="U333" t="s">
        <v>143</v>
      </c>
      <c r="V333">
        <v>35</v>
      </c>
      <c r="W333">
        <v>12</v>
      </c>
      <c r="X333">
        <v>10</v>
      </c>
      <c r="Y333">
        <v>1</v>
      </c>
      <c r="Z333">
        <v>1</v>
      </c>
      <c r="AA333">
        <v>0</v>
      </c>
      <c r="AB333" t="s">
        <v>97</v>
      </c>
      <c r="AC333" t="s">
        <v>152</v>
      </c>
      <c r="AD333">
        <v>2021</v>
      </c>
      <c r="AE333" t="s">
        <v>119</v>
      </c>
      <c r="AF333" t="b">
        <v>0</v>
      </c>
      <c r="AG333">
        <v>803000</v>
      </c>
      <c r="AH333">
        <v>653353.56000000006</v>
      </c>
      <c r="AI333">
        <v>0.92269999999999996</v>
      </c>
      <c r="AJ333">
        <v>0.88749999999999996</v>
      </c>
      <c r="AK333">
        <v>59</v>
      </c>
      <c r="AL333" t="s">
        <v>120</v>
      </c>
      <c r="AM333">
        <v>3394000</v>
      </c>
      <c r="AN333">
        <v>4.65E-2</v>
      </c>
      <c r="AO333">
        <v>658</v>
      </c>
      <c r="AP333">
        <v>649</v>
      </c>
      <c r="AQ333" t="s">
        <v>145</v>
      </c>
      <c r="AR333" t="s">
        <v>157</v>
      </c>
      <c r="AS333">
        <v>2</v>
      </c>
      <c r="AT333">
        <v>0.1381</v>
      </c>
      <c r="AU333">
        <v>0.48170000000000002</v>
      </c>
      <c r="AV333">
        <v>628829.29</v>
      </c>
      <c r="AW333">
        <v>41831.47</v>
      </c>
      <c r="AX333" t="b">
        <v>0</v>
      </c>
      <c r="AY333" t="b">
        <v>0</v>
      </c>
      <c r="AZ333" t="s">
        <v>80</v>
      </c>
      <c r="BA333">
        <v>0</v>
      </c>
      <c r="BB333">
        <v>0</v>
      </c>
      <c r="BC333">
        <v>0</v>
      </c>
      <c r="BD333">
        <v>0</v>
      </c>
      <c r="BE333" t="s">
        <v>108</v>
      </c>
      <c r="BF333" t="b">
        <v>1</v>
      </c>
    </row>
    <row r="334" spans="1:58" x14ac:dyDescent="0.3">
      <c r="A334" t="s">
        <v>843</v>
      </c>
      <c r="B334" t="s">
        <v>67</v>
      </c>
      <c r="C334" t="s">
        <v>844</v>
      </c>
      <c r="D334" t="s">
        <v>84</v>
      </c>
      <c r="E334" t="s">
        <v>85</v>
      </c>
      <c r="F334" t="s">
        <v>71</v>
      </c>
      <c r="G334" s="1">
        <v>44961</v>
      </c>
      <c r="H334" s="1">
        <v>45596</v>
      </c>
      <c r="I334" s="1">
        <v>46401</v>
      </c>
      <c r="J334">
        <v>1513000</v>
      </c>
      <c r="K334">
        <v>48</v>
      </c>
      <c r="L334">
        <v>28</v>
      </c>
      <c r="M334">
        <v>20</v>
      </c>
      <c r="N334">
        <v>12.84</v>
      </c>
      <c r="O334">
        <v>40469.949999999997</v>
      </c>
      <c r="P334" t="s">
        <v>72</v>
      </c>
      <c r="Q334">
        <v>913588.33</v>
      </c>
      <c r="R334">
        <v>40469.949999999997</v>
      </c>
      <c r="S334">
        <v>41690.080000000002</v>
      </c>
      <c r="T334" s="1">
        <v>45567</v>
      </c>
      <c r="U334" t="s">
        <v>73</v>
      </c>
      <c r="V334">
        <v>0</v>
      </c>
      <c r="W334">
        <v>20</v>
      </c>
      <c r="X334">
        <v>20</v>
      </c>
      <c r="Y334">
        <v>0</v>
      </c>
      <c r="Z334">
        <v>0</v>
      </c>
      <c r="AA334">
        <v>0</v>
      </c>
      <c r="AB334" t="s">
        <v>104</v>
      </c>
      <c r="AC334" t="s">
        <v>156</v>
      </c>
      <c r="AD334">
        <v>2023</v>
      </c>
      <c r="AE334" t="s">
        <v>166</v>
      </c>
      <c r="AF334" t="b">
        <v>1</v>
      </c>
      <c r="AG334">
        <v>1610000</v>
      </c>
      <c r="AH334">
        <v>1198147.6200000001</v>
      </c>
      <c r="AI334">
        <v>0.93979999999999997</v>
      </c>
      <c r="AJ334">
        <v>0.74660000000000004</v>
      </c>
      <c r="AK334">
        <v>29</v>
      </c>
      <c r="AL334" t="s">
        <v>120</v>
      </c>
      <c r="AM334">
        <v>2302000</v>
      </c>
      <c r="AN334">
        <v>0.21099999999999999</v>
      </c>
      <c r="AO334">
        <v>718</v>
      </c>
      <c r="AP334">
        <v>741</v>
      </c>
      <c r="AQ334" t="s">
        <v>127</v>
      </c>
      <c r="AR334" t="s">
        <v>128</v>
      </c>
      <c r="AS334">
        <v>1</v>
      </c>
      <c r="AT334">
        <v>1.5599999999999999E-2</v>
      </c>
      <c r="AU334">
        <v>0.44990000000000002</v>
      </c>
      <c r="AV334">
        <v>957436.61</v>
      </c>
      <c r="AW334">
        <v>6719.71</v>
      </c>
      <c r="AX334" t="b">
        <v>0</v>
      </c>
      <c r="AY334" t="b">
        <v>0</v>
      </c>
      <c r="AZ334" t="s">
        <v>80</v>
      </c>
      <c r="BA334">
        <v>0</v>
      </c>
      <c r="BB334">
        <v>0</v>
      </c>
      <c r="BC334">
        <v>0</v>
      </c>
      <c r="BD334">
        <v>0</v>
      </c>
      <c r="BE334" t="s">
        <v>81</v>
      </c>
      <c r="BF334" t="b">
        <v>1</v>
      </c>
    </row>
    <row r="335" spans="1:58" x14ac:dyDescent="0.3">
      <c r="A335" t="s">
        <v>845</v>
      </c>
      <c r="B335" t="s">
        <v>67</v>
      </c>
      <c r="C335" t="s">
        <v>846</v>
      </c>
      <c r="D335" t="s">
        <v>95</v>
      </c>
      <c r="E335" t="s">
        <v>96</v>
      </c>
      <c r="F335" t="s">
        <v>71</v>
      </c>
      <c r="G335" s="1">
        <v>45140</v>
      </c>
      <c r="H335" s="1">
        <v>45596</v>
      </c>
      <c r="I335" s="1">
        <v>46580</v>
      </c>
      <c r="J335">
        <v>642000</v>
      </c>
      <c r="K335">
        <v>48</v>
      </c>
      <c r="L335">
        <v>34</v>
      </c>
      <c r="M335">
        <v>14</v>
      </c>
      <c r="N335">
        <v>13.5</v>
      </c>
      <c r="O335">
        <v>17383</v>
      </c>
      <c r="P335" t="s">
        <v>72</v>
      </c>
      <c r="Q335">
        <v>439053.09</v>
      </c>
      <c r="R335">
        <v>17383</v>
      </c>
      <c r="S335">
        <v>18074.88</v>
      </c>
      <c r="T335" s="1">
        <v>45569</v>
      </c>
      <c r="U335" t="s">
        <v>73</v>
      </c>
      <c r="V335">
        <v>0</v>
      </c>
      <c r="W335">
        <v>14</v>
      </c>
      <c r="X335">
        <v>14</v>
      </c>
      <c r="Y335">
        <v>0</v>
      </c>
      <c r="Z335">
        <v>0</v>
      </c>
      <c r="AA335">
        <v>0</v>
      </c>
      <c r="AB335" t="s">
        <v>117</v>
      </c>
      <c r="AC335" t="s">
        <v>806</v>
      </c>
      <c r="AD335">
        <v>2023</v>
      </c>
      <c r="AE335" t="s">
        <v>76</v>
      </c>
      <c r="AF335" t="b">
        <v>1</v>
      </c>
      <c r="AG335">
        <v>1022000</v>
      </c>
      <c r="AH335">
        <v>866789.5</v>
      </c>
      <c r="AI335">
        <v>0.62809999999999999</v>
      </c>
      <c r="AJ335">
        <v>0.51629999999999998</v>
      </c>
      <c r="AK335">
        <v>38</v>
      </c>
      <c r="AL335" t="s">
        <v>77</v>
      </c>
      <c r="AM335">
        <v>3518000</v>
      </c>
      <c r="AN335">
        <v>5.9299999999999999E-2</v>
      </c>
      <c r="AO335">
        <v>848</v>
      </c>
      <c r="AP335">
        <v>845</v>
      </c>
      <c r="AQ335" t="s">
        <v>145</v>
      </c>
      <c r="AR335" t="s">
        <v>182</v>
      </c>
      <c r="AS335">
        <v>1</v>
      </c>
      <c r="AT335">
        <v>2.3199999999999998E-2</v>
      </c>
      <c r="AU335">
        <v>0.37869999999999998</v>
      </c>
      <c r="AV335">
        <v>441874.06</v>
      </c>
      <c r="AW335">
        <v>3882.23</v>
      </c>
      <c r="AX335" t="b">
        <v>0</v>
      </c>
      <c r="AY335" t="b">
        <v>0</v>
      </c>
      <c r="AZ335" t="s">
        <v>80</v>
      </c>
      <c r="BA335">
        <v>0</v>
      </c>
      <c r="BB335">
        <v>0</v>
      </c>
      <c r="BC335">
        <v>0</v>
      </c>
      <c r="BD335">
        <v>0</v>
      </c>
      <c r="BE335" t="s">
        <v>134</v>
      </c>
      <c r="BF335" t="b">
        <v>1</v>
      </c>
    </row>
    <row r="336" spans="1:58" x14ac:dyDescent="0.3">
      <c r="A336" t="s">
        <v>847</v>
      </c>
      <c r="B336" t="s">
        <v>67</v>
      </c>
      <c r="C336" t="s">
        <v>848</v>
      </c>
      <c r="D336" t="s">
        <v>69</v>
      </c>
      <c r="E336" t="s">
        <v>70</v>
      </c>
      <c r="F336" t="s">
        <v>86</v>
      </c>
      <c r="G336" s="1">
        <v>45290</v>
      </c>
      <c r="H336" s="1">
        <v>45596</v>
      </c>
      <c r="I336" s="1">
        <v>46730</v>
      </c>
      <c r="J336">
        <v>664300</v>
      </c>
      <c r="K336">
        <v>48</v>
      </c>
      <c r="L336">
        <v>38</v>
      </c>
      <c r="M336">
        <v>10</v>
      </c>
      <c r="N336">
        <v>12.87</v>
      </c>
      <c r="O336">
        <v>17778.669999999998</v>
      </c>
      <c r="P336" t="s">
        <v>72</v>
      </c>
      <c r="Q336">
        <v>502433</v>
      </c>
      <c r="R336">
        <v>17778.669999999998</v>
      </c>
      <c r="S336">
        <v>17208.900000000001</v>
      </c>
      <c r="T336" s="1">
        <v>45571</v>
      </c>
      <c r="U336" t="s">
        <v>73</v>
      </c>
      <c r="V336">
        <v>0</v>
      </c>
      <c r="W336">
        <v>10</v>
      </c>
      <c r="X336">
        <v>10</v>
      </c>
      <c r="Y336">
        <v>0</v>
      </c>
      <c r="Z336">
        <v>0</v>
      </c>
      <c r="AA336">
        <v>0</v>
      </c>
      <c r="AB336" t="s">
        <v>74</v>
      </c>
      <c r="AC336" t="s">
        <v>260</v>
      </c>
      <c r="AD336">
        <v>2023</v>
      </c>
      <c r="AE336" t="s">
        <v>90</v>
      </c>
      <c r="AF336" t="b">
        <v>1</v>
      </c>
      <c r="AG336">
        <v>730000</v>
      </c>
      <c r="AH336">
        <v>665827.01</v>
      </c>
      <c r="AI336">
        <v>0.91</v>
      </c>
      <c r="AJ336">
        <v>0.78210000000000002</v>
      </c>
      <c r="AK336">
        <v>54</v>
      </c>
      <c r="AL336" t="s">
        <v>132</v>
      </c>
      <c r="AM336">
        <v>2354000</v>
      </c>
      <c r="AN336">
        <v>9.06E-2</v>
      </c>
      <c r="AO336">
        <v>669</v>
      </c>
      <c r="AP336">
        <v>648</v>
      </c>
      <c r="AQ336" t="s">
        <v>100</v>
      </c>
      <c r="AR336" t="s">
        <v>107</v>
      </c>
      <c r="AS336">
        <v>1</v>
      </c>
      <c r="AT336">
        <v>1.77E-2</v>
      </c>
      <c r="AU336">
        <v>0.55259999999999998</v>
      </c>
      <c r="AV336">
        <v>514507.77</v>
      </c>
      <c r="AW336">
        <v>5032.41</v>
      </c>
      <c r="AX336" t="b">
        <v>0</v>
      </c>
      <c r="AY336" t="b">
        <v>0</v>
      </c>
      <c r="AZ336" t="s">
        <v>80</v>
      </c>
      <c r="BA336">
        <v>0</v>
      </c>
      <c r="BB336">
        <v>0</v>
      </c>
      <c r="BC336">
        <v>0</v>
      </c>
      <c r="BD336">
        <v>0</v>
      </c>
      <c r="BE336" t="s">
        <v>108</v>
      </c>
      <c r="BF336" t="b">
        <v>0</v>
      </c>
    </row>
    <row r="337" spans="1:58" x14ac:dyDescent="0.3">
      <c r="A337" t="s">
        <v>849</v>
      </c>
      <c r="B337" t="s">
        <v>67</v>
      </c>
      <c r="C337" t="s">
        <v>850</v>
      </c>
      <c r="D337" t="s">
        <v>95</v>
      </c>
      <c r="E337" t="s">
        <v>96</v>
      </c>
      <c r="F337" t="s">
        <v>86</v>
      </c>
      <c r="G337" s="1">
        <v>44414</v>
      </c>
      <c r="H337" s="1">
        <v>45596</v>
      </c>
      <c r="I337" s="1">
        <v>45494</v>
      </c>
      <c r="J337">
        <v>672600</v>
      </c>
      <c r="K337">
        <v>36</v>
      </c>
      <c r="L337">
        <v>0</v>
      </c>
      <c r="M337">
        <v>38</v>
      </c>
      <c r="N337">
        <v>8.6300000000000008</v>
      </c>
      <c r="O337">
        <v>21272.86</v>
      </c>
      <c r="P337" t="s">
        <v>72</v>
      </c>
      <c r="Q337">
        <v>0</v>
      </c>
      <c r="R337">
        <v>21272.86</v>
      </c>
      <c r="S337">
        <v>22060.62</v>
      </c>
      <c r="T337" s="1">
        <v>45591</v>
      </c>
      <c r="U337" t="s">
        <v>73</v>
      </c>
      <c r="V337">
        <v>0</v>
      </c>
      <c r="W337">
        <v>38</v>
      </c>
      <c r="X337">
        <v>38</v>
      </c>
      <c r="Y337">
        <v>0</v>
      </c>
      <c r="Z337">
        <v>0</v>
      </c>
      <c r="AA337">
        <v>0</v>
      </c>
      <c r="AB337" t="s">
        <v>164</v>
      </c>
      <c r="AC337" t="s">
        <v>279</v>
      </c>
      <c r="AD337">
        <v>2021</v>
      </c>
      <c r="AE337" t="s">
        <v>99</v>
      </c>
      <c r="AF337" t="b">
        <v>1</v>
      </c>
      <c r="AG337">
        <v>907000</v>
      </c>
      <c r="AH337">
        <v>458907.65</v>
      </c>
      <c r="AI337">
        <v>0.74160000000000004</v>
      </c>
      <c r="AJ337">
        <v>0</v>
      </c>
      <c r="AK337">
        <v>49</v>
      </c>
      <c r="AL337" t="s">
        <v>120</v>
      </c>
      <c r="AM337">
        <v>354000</v>
      </c>
      <c r="AN337">
        <v>0.72109999999999996</v>
      </c>
      <c r="AO337">
        <v>817</v>
      </c>
      <c r="AP337">
        <v>818</v>
      </c>
      <c r="AQ337" t="s">
        <v>127</v>
      </c>
      <c r="AR337" t="s">
        <v>128</v>
      </c>
      <c r="AS337">
        <v>1</v>
      </c>
      <c r="AT337">
        <v>2.41E-2</v>
      </c>
      <c r="AU337">
        <v>0.64149999999999996</v>
      </c>
      <c r="AV337">
        <v>0</v>
      </c>
      <c r="AW337">
        <v>0</v>
      </c>
      <c r="AX337" t="b">
        <v>0</v>
      </c>
      <c r="AY337" t="b">
        <v>0</v>
      </c>
      <c r="AZ337" t="s">
        <v>80</v>
      </c>
      <c r="BA337">
        <v>0</v>
      </c>
      <c r="BB337">
        <v>0</v>
      </c>
      <c r="BC337">
        <v>0</v>
      </c>
      <c r="BD337">
        <v>0</v>
      </c>
      <c r="BE337" t="s">
        <v>134</v>
      </c>
      <c r="BF337" t="b">
        <v>1</v>
      </c>
    </row>
    <row r="338" spans="1:58" x14ac:dyDescent="0.3">
      <c r="A338" t="s">
        <v>851</v>
      </c>
      <c r="B338" t="s">
        <v>67</v>
      </c>
      <c r="C338" t="s">
        <v>852</v>
      </c>
      <c r="D338" t="s">
        <v>69</v>
      </c>
      <c r="E338" t="s">
        <v>70</v>
      </c>
      <c r="F338" t="s">
        <v>124</v>
      </c>
      <c r="G338" s="1">
        <v>44887</v>
      </c>
      <c r="H338" s="1">
        <v>45596</v>
      </c>
      <c r="I338" s="1">
        <v>45967</v>
      </c>
      <c r="J338">
        <v>1138900</v>
      </c>
      <c r="K338">
        <v>36</v>
      </c>
      <c r="L338">
        <v>13</v>
      </c>
      <c r="M338">
        <v>23</v>
      </c>
      <c r="N338">
        <v>10.75</v>
      </c>
      <c r="O338">
        <v>37151.43</v>
      </c>
      <c r="P338" t="s">
        <v>72</v>
      </c>
      <c r="Q338">
        <v>372600.52</v>
      </c>
      <c r="R338">
        <v>37151.43</v>
      </c>
      <c r="S338">
        <v>36765.85</v>
      </c>
      <c r="T338" s="1">
        <v>45585</v>
      </c>
      <c r="U338" t="s">
        <v>73</v>
      </c>
      <c r="V338">
        <v>0</v>
      </c>
      <c r="W338">
        <v>23</v>
      </c>
      <c r="X338">
        <v>23</v>
      </c>
      <c r="Y338">
        <v>0</v>
      </c>
      <c r="Z338">
        <v>0</v>
      </c>
      <c r="AA338">
        <v>0</v>
      </c>
      <c r="AB338" t="s">
        <v>104</v>
      </c>
      <c r="AC338" t="s">
        <v>156</v>
      </c>
      <c r="AD338">
        <v>2022</v>
      </c>
      <c r="AE338" t="s">
        <v>90</v>
      </c>
      <c r="AF338" t="b">
        <v>1</v>
      </c>
      <c r="AG338">
        <v>1500000</v>
      </c>
      <c r="AH338">
        <v>995654.98</v>
      </c>
      <c r="AI338">
        <v>0.75919999999999999</v>
      </c>
      <c r="AJ338">
        <v>0.34310000000000002</v>
      </c>
      <c r="AK338">
        <v>52</v>
      </c>
      <c r="AL338" t="s">
        <v>106</v>
      </c>
      <c r="AM338">
        <v>3237000</v>
      </c>
      <c r="AN338">
        <v>0.13769999999999999</v>
      </c>
      <c r="AO338">
        <v>744</v>
      </c>
      <c r="AP338">
        <v>726</v>
      </c>
      <c r="AQ338" t="s">
        <v>127</v>
      </c>
      <c r="AR338" t="s">
        <v>185</v>
      </c>
      <c r="AS338">
        <v>1</v>
      </c>
      <c r="AT338">
        <v>1.7899999999999999E-2</v>
      </c>
      <c r="AU338">
        <v>0.54079999999999995</v>
      </c>
      <c r="AV338">
        <v>383699.9</v>
      </c>
      <c r="AW338">
        <v>3714.34</v>
      </c>
      <c r="AX338" t="b">
        <v>0</v>
      </c>
      <c r="AY338" t="b">
        <v>0</v>
      </c>
      <c r="AZ338" t="s">
        <v>80</v>
      </c>
      <c r="BA338">
        <v>0</v>
      </c>
      <c r="BB338">
        <v>0</v>
      </c>
      <c r="BC338">
        <v>0</v>
      </c>
      <c r="BD338">
        <v>0</v>
      </c>
      <c r="BE338" t="s">
        <v>108</v>
      </c>
      <c r="BF338" t="b">
        <v>1</v>
      </c>
    </row>
    <row r="339" spans="1:58" x14ac:dyDescent="0.3">
      <c r="A339" t="s">
        <v>853</v>
      </c>
      <c r="B339" t="s">
        <v>67</v>
      </c>
      <c r="C339" t="s">
        <v>854</v>
      </c>
      <c r="D339" t="s">
        <v>95</v>
      </c>
      <c r="E339" t="s">
        <v>96</v>
      </c>
      <c r="F339" t="s">
        <v>115</v>
      </c>
      <c r="G339" s="1">
        <v>44390</v>
      </c>
      <c r="H339" s="1">
        <v>45596</v>
      </c>
      <c r="I339" s="1">
        <v>46910</v>
      </c>
      <c r="J339">
        <v>1473500</v>
      </c>
      <c r="K339">
        <v>84</v>
      </c>
      <c r="L339">
        <v>45</v>
      </c>
      <c r="M339">
        <v>39</v>
      </c>
      <c r="N339">
        <v>11.48</v>
      </c>
      <c r="O339">
        <v>25603.32</v>
      </c>
      <c r="P339" t="s">
        <v>116</v>
      </c>
      <c r="Q339">
        <v>715249.65</v>
      </c>
      <c r="R339">
        <v>25603.32</v>
      </c>
      <c r="S339">
        <v>25899.25</v>
      </c>
      <c r="T339" s="1">
        <v>45562</v>
      </c>
      <c r="U339" t="s">
        <v>73</v>
      </c>
      <c r="V339">
        <v>0</v>
      </c>
      <c r="W339">
        <v>39</v>
      </c>
      <c r="X339">
        <v>39</v>
      </c>
      <c r="Y339">
        <v>0</v>
      </c>
      <c r="Z339">
        <v>0</v>
      </c>
      <c r="AA339">
        <v>0</v>
      </c>
      <c r="AB339" t="s">
        <v>208</v>
      </c>
      <c r="AC339" t="s">
        <v>405</v>
      </c>
      <c r="AD339">
        <v>2017</v>
      </c>
      <c r="AE339" t="s">
        <v>166</v>
      </c>
      <c r="AF339" t="b">
        <v>0</v>
      </c>
      <c r="AG339">
        <v>1938000</v>
      </c>
      <c r="AH339">
        <v>1104062.17</v>
      </c>
      <c r="AI339">
        <v>0.76029999999999998</v>
      </c>
      <c r="AJ339">
        <v>0.69369999999999998</v>
      </c>
      <c r="AK339">
        <v>48</v>
      </c>
      <c r="AL339" t="s">
        <v>132</v>
      </c>
      <c r="AM339">
        <v>2940000</v>
      </c>
      <c r="AN339">
        <v>0.1045</v>
      </c>
      <c r="AO339">
        <v>813</v>
      </c>
      <c r="AP339">
        <v>775</v>
      </c>
      <c r="AQ339" t="s">
        <v>127</v>
      </c>
      <c r="AR339" t="s">
        <v>128</v>
      </c>
      <c r="AS339">
        <v>1</v>
      </c>
      <c r="AT339">
        <v>2.4E-2</v>
      </c>
      <c r="AU339">
        <v>0.48</v>
      </c>
      <c r="AV339">
        <v>719413.31</v>
      </c>
      <c r="AW339">
        <v>8287.64</v>
      </c>
      <c r="AX339" t="b">
        <v>0</v>
      </c>
      <c r="AY339" t="b">
        <v>0</v>
      </c>
      <c r="AZ339" t="s">
        <v>80</v>
      </c>
      <c r="BA339">
        <v>0</v>
      </c>
      <c r="BB339">
        <v>0</v>
      </c>
      <c r="BC339">
        <v>0</v>
      </c>
      <c r="BD339">
        <v>0</v>
      </c>
      <c r="BE339" t="s">
        <v>134</v>
      </c>
      <c r="BF339" t="b">
        <v>1</v>
      </c>
    </row>
    <row r="340" spans="1:58" x14ac:dyDescent="0.3">
      <c r="A340" t="s">
        <v>855</v>
      </c>
      <c r="B340" t="s">
        <v>67</v>
      </c>
      <c r="C340" t="s">
        <v>856</v>
      </c>
      <c r="D340" t="s">
        <v>84</v>
      </c>
      <c r="E340" t="s">
        <v>85</v>
      </c>
      <c r="F340" t="s">
        <v>86</v>
      </c>
      <c r="G340" s="1">
        <v>44696</v>
      </c>
      <c r="H340" s="1">
        <v>45596</v>
      </c>
      <c r="I340" s="1">
        <v>46136</v>
      </c>
      <c r="J340">
        <v>1253600</v>
      </c>
      <c r="K340">
        <v>48</v>
      </c>
      <c r="L340">
        <v>19</v>
      </c>
      <c r="M340">
        <v>29</v>
      </c>
      <c r="N340">
        <v>9.44</v>
      </c>
      <c r="O340">
        <v>31458.46</v>
      </c>
      <c r="P340" t="s">
        <v>72</v>
      </c>
      <c r="Q340">
        <v>496571.93</v>
      </c>
      <c r="R340">
        <v>31458.46</v>
      </c>
      <c r="S340">
        <v>32125.49</v>
      </c>
      <c r="T340" s="1">
        <v>45567</v>
      </c>
      <c r="U340" t="s">
        <v>73</v>
      </c>
      <c r="V340">
        <v>0</v>
      </c>
      <c r="W340">
        <v>29</v>
      </c>
      <c r="X340">
        <v>29</v>
      </c>
      <c r="Y340">
        <v>0</v>
      </c>
      <c r="Z340">
        <v>0</v>
      </c>
      <c r="AA340">
        <v>0</v>
      </c>
      <c r="AB340" t="s">
        <v>117</v>
      </c>
      <c r="AC340" t="s">
        <v>360</v>
      </c>
      <c r="AD340">
        <v>2022</v>
      </c>
      <c r="AE340" t="s">
        <v>76</v>
      </c>
      <c r="AF340" t="b">
        <v>1</v>
      </c>
      <c r="AG340">
        <v>1665000</v>
      </c>
      <c r="AH340">
        <v>1104667.57</v>
      </c>
      <c r="AI340">
        <v>0.75290000000000001</v>
      </c>
      <c r="AJ340">
        <v>0.45739999999999997</v>
      </c>
      <c r="AK340">
        <v>49</v>
      </c>
      <c r="AL340" t="s">
        <v>77</v>
      </c>
      <c r="AM340">
        <v>3488000</v>
      </c>
      <c r="AN340">
        <v>0.1082</v>
      </c>
      <c r="AO340">
        <v>719</v>
      </c>
      <c r="AP340">
        <v>669</v>
      </c>
      <c r="AQ340" t="s">
        <v>127</v>
      </c>
      <c r="AR340" t="s">
        <v>153</v>
      </c>
      <c r="AS340">
        <v>1</v>
      </c>
      <c r="AT340">
        <v>1.52E-2</v>
      </c>
      <c r="AU340">
        <v>0.41739999999999999</v>
      </c>
      <c r="AV340">
        <v>514175.62</v>
      </c>
      <c r="AW340">
        <v>3262.18</v>
      </c>
      <c r="AX340" t="b">
        <v>0</v>
      </c>
      <c r="AY340" t="b">
        <v>0</v>
      </c>
      <c r="AZ340" t="s">
        <v>80</v>
      </c>
      <c r="BA340">
        <v>0</v>
      </c>
      <c r="BB340">
        <v>0</v>
      </c>
      <c r="BC340">
        <v>0</v>
      </c>
      <c r="BD340">
        <v>0</v>
      </c>
      <c r="BE340" t="s">
        <v>108</v>
      </c>
      <c r="BF340" t="b">
        <v>1</v>
      </c>
    </row>
    <row r="341" spans="1:58" x14ac:dyDescent="0.3">
      <c r="A341" t="s">
        <v>857</v>
      </c>
      <c r="B341" t="s">
        <v>67</v>
      </c>
      <c r="C341" t="s">
        <v>858</v>
      </c>
      <c r="D341" t="s">
        <v>69</v>
      </c>
      <c r="E341" t="s">
        <v>70</v>
      </c>
      <c r="F341" t="s">
        <v>71</v>
      </c>
      <c r="G341" s="1">
        <v>45497</v>
      </c>
      <c r="H341" s="1">
        <v>45596</v>
      </c>
      <c r="I341" s="1">
        <v>47297</v>
      </c>
      <c r="J341">
        <v>2001200</v>
      </c>
      <c r="K341">
        <v>60</v>
      </c>
      <c r="L341">
        <v>57</v>
      </c>
      <c r="M341">
        <v>3</v>
      </c>
      <c r="N341">
        <v>9.74</v>
      </c>
      <c r="O341">
        <v>42264.02</v>
      </c>
      <c r="P341" t="s">
        <v>72</v>
      </c>
      <c r="Q341">
        <v>1945615.85</v>
      </c>
      <c r="R341">
        <v>42264.02</v>
      </c>
      <c r="S341">
        <v>40275.769999999997</v>
      </c>
      <c r="T341" s="1">
        <v>45586</v>
      </c>
      <c r="U341" t="s">
        <v>73</v>
      </c>
      <c r="V341">
        <v>0</v>
      </c>
      <c r="W341">
        <v>3</v>
      </c>
      <c r="X341">
        <v>3</v>
      </c>
      <c r="Y341">
        <v>0</v>
      </c>
      <c r="Z341">
        <v>0</v>
      </c>
      <c r="AA341">
        <v>0</v>
      </c>
      <c r="AB341" t="s">
        <v>104</v>
      </c>
      <c r="AC341" t="s">
        <v>156</v>
      </c>
      <c r="AD341">
        <v>2024</v>
      </c>
      <c r="AE341" t="s">
        <v>166</v>
      </c>
      <c r="AF341" t="b">
        <v>1</v>
      </c>
      <c r="AG341">
        <v>3311000</v>
      </c>
      <c r="AH341">
        <v>3271129.99</v>
      </c>
      <c r="AI341">
        <v>0.60440000000000005</v>
      </c>
      <c r="AJ341">
        <v>0.60960000000000003</v>
      </c>
      <c r="AK341">
        <v>51</v>
      </c>
      <c r="AL341" t="s">
        <v>120</v>
      </c>
      <c r="AM341">
        <v>1290000</v>
      </c>
      <c r="AN341">
        <v>0.39319999999999999</v>
      </c>
      <c r="AO341">
        <v>828</v>
      </c>
      <c r="AP341">
        <v>799</v>
      </c>
      <c r="AQ341" t="s">
        <v>127</v>
      </c>
      <c r="AR341" t="s">
        <v>185</v>
      </c>
      <c r="AS341">
        <v>1</v>
      </c>
      <c r="AT341">
        <v>2.3E-2</v>
      </c>
      <c r="AU341">
        <v>0.50890000000000002</v>
      </c>
      <c r="AV341">
        <v>1975192.39</v>
      </c>
      <c r="AW341">
        <v>23119.03</v>
      </c>
      <c r="AX341" t="b">
        <v>0</v>
      </c>
      <c r="AY341" t="b">
        <v>0</v>
      </c>
      <c r="AZ341" t="s">
        <v>80</v>
      </c>
      <c r="BA341">
        <v>0</v>
      </c>
      <c r="BB341">
        <v>0</v>
      </c>
      <c r="BC341">
        <v>0</v>
      </c>
      <c r="BD341">
        <v>0</v>
      </c>
      <c r="BE341" t="s">
        <v>134</v>
      </c>
      <c r="BF341" t="b">
        <v>1</v>
      </c>
    </row>
    <row r="342" spans="1:58" x14ac:dyDescent="0.3">
      <c r="A342" t="s">
        <v>859</v>
      </c>
      <c r="B342" t="s">
        <v>67</v>
      </c>
      <c r="C342" t="s">
        <v>860</v>
      </c>
      <c r="D342" t="s">
        <v>84</v>
      </c>
      <c r="E342" t="s">
        <v>85</v>
      </c>
      <c r="F342" t="s">
        <v>124</v>
      </c>
      <c r="G342" s="1">
        <v>45353</v>
      </c>
      <c r="H342" s="1">
        <v>45596</v>
      </c>
      <c r="I342" s="1">
        <v>47513</v>
      </c>
      <c r="J342">
        <v>691700</v>
      </c>
      <c r="K342">
        <v>72</v>
      </c>
      <c r="L342">
        <v>65</v>
      </c>
      <c r="M342">
        <v>7</v>
      </c>
      <c r="N342">
        <v>14.43</v>
      </c>
      <c r="O342">
        <v>14412.74</v>
      </c>
      <c r="P342" t="s">
        <v>72</v>
      </c>
      <c r="Q342">
        <v>597158.27</v>
      </c>
      <c r="R342">
        <v>14412.74</v>
      </c>
      <c r="S342">
        <v>14600.5</v>
      </c>
      <c r="T342" s="1">
        <v>45576</v>
      </c>
      <c r="U342" t="s">
        <v>73</v>
      </c>
      <c r="V342">
        <v>0</v>
      </c>
      <c r="W342">
        <v>7</v>
      </c>
      <c r="X342">
        <v>7</v>
      </c>
      <c r="Y342">
        <v>0</v>
      </c>
      <c r="Z342">
        <v>0</v>
      </c>
      <c r="AA342">
        <v>0</v>
      </c>
      <c r="AB342" t="s">
        <v>174</v>
      </c>
      <c r="AC342" t="s">
        <v>423</v>
      </c>
      <c r="AD342">
        <v>2024</v>
      </c>
      <c r="AE342" t="s">
        <v>99</v>
      </c>
      <c r="AF342" t="b">
        <v>1</v>
      </c>
      <c r="AG342">
        <v>989000</v>
      </c>
      <c r="AH342">
        <v>906341.57</v>
      </c>
      <c r="AI342">
        <v>0.69940000000000002</v>
      </c>
      <c r="AJ342">
        <v>0.65920000000000001</v>
      </c>
      <c r="AK342">
        <v>30</v>
      </c>
      <c r="AL342" t="s">
        <v>120</v>
      </c>
      <c r="AM342">
        <v>3153000</v>
      </c>
      <c r="AN342">
        <v>5.4899999999999997E-2</v>
      </c>
      <c r="AO342">
        <v>681</v>
      </c>
      <c r="AP342">
        <v>643</v>
      </c>
      <c r="AQ342" t="s">
        <v>127</v>
      </c>
      <c r="AR342" t="s">
        <v>153</v>
      </c>
      <c r="AS342">
        <v>1</v>
      </c>
      <c r="AT342">
        <v>2.06E-2</v>
      </c>
      <c r="AU342">
        <v>0.4556</v>
      </c>
      <c r="AV342">
        <v>603659.91</v>
      </c>
      <c r="AW342">
        <v>5665.57</v>
      </c>
      <c r="AX342" t="b">
        <v>0</v>
      </c>
      <c r="AY342" t="b">
        <v>0</v>
      </c>
      <c r="AZ342" t="s">
        <v>80</v>
      </c>
      <c r="BA342">
        <v>0</v>
      </c>
      <c r="BB342">
        <v>0</v>
      </c>
      <c r="BC342">
        <v>0</v>
      </c>
      <c r="BD342">
        <v>0</v>
      </c>
      <c r="BE342" t="s">
        <v>134</v>
      </c>
      <c r="BF342" t="b">
        <v>1</v>
      </c>
    </row>
    <row r="343" spans="1:58" x14ac:dyDescent="0.3">
      <c r="A343" t="s">
        <v>861</v>
      </c>
      <c r="B343" t="s">
        <v>67</v>
      </c>
      <c r="C343" t="s">
        <v>862</v>
      </c>
      <c r="D343" t="s">
        <v>84</v>
      </c>
      <c r="E343" t="s">
        <v>85</v>
      </c>
      <c r="F343" t="s">
        <v>115</v>
      </c>
      <c r="G343" s="1">
        <v>45287</v>
      </c>
      <c r="H343" s="1">
        <v>45596</v>
      </c>
      <c r="I343" s="1">
        <v>47447</v>
      </c>
      <c r="J343">
        <v>1990700</v>
      </c>
      <c r="K343">
        <v>72</v>
      </c>
      <c r="L343">
        <v>62</v>
      </c>
      <c r="M343">
        <v>10</v>
      </c>
      <c r="N343">
        <v>8.6</v>
      </c>
      <c r="O343">
        <v>35489.51</v>
      </c>
      <c r="P343" t="s">
        <v>72</v>
      </c>
      <c r="Q343">
        <v>1767356.72</v>
      </c>
      <c r="R343">
        <v>35489.51</v>
      </c>
      <c r="S343">
        <v>35934.89</v>
      </c>
      <c r="T343" s="1">
        <v>45591</v>
      </c>
      <c r="U343" t="s">
        <v>73</v>
      </c>
      <c r="V343">
        <v>0</v>
      </c>
      <c r="W343">
        <v>10</v>
      </c>
      <c r="X343">
        <v>10</v>
      </c>
      <c r="Y343">
        <v>0</v>
      </c>
      <c r="Z343">
        <v>0</v>
      </c>
      <c r="AA343">
        <v>0</v>
      </c>
      <c r="AB343" t="s">
        <v>174</v>
      </c>
      <c r="AC343" t="s">
        <v>305</v>
      </c>
      <c r="AD343">
        <v>2023</v>
      </c>
      <c r="AE343" t="s">
        <v>166</v>
      </c>
      <c r="AF343" t="b">
        <v>1</v>
      </c>
      <c r="AG343">
        <v>2843000</v>
      </c>
      <c r="AH343">
        <v>2727929.32</v>
      </c>
      <c r="AI343">
        <v>0.70020000000000004</v>
      </c>
      <c r="AJ343">
        <v>0.70640000000000003</v>
      </c>
      <c r="AK343">
        <v>40</v>
      </c>
      <c r="AL343" t="s">
        <v>132</v>
      </c>
      <c r="AM343">
        <v>1269000</v>
      </c>
      <c r="AN343">
        <v>0.33560000000000001</v>
      </c>
      <c r="AO343">
        <v>768</v>
      </c>
      <c r="AP343">
        <v>740</v>
      </c>
      <c r="AQ343" t="s">
        <v>145</v>
      </c>
      <c r="AR343" t="s">
        <v>182</v>
      </c>
      <c r="AS343">
        <v>1</v>
      </c>
      <c r="AT343">
        <v>2.12E-2</v>
      </c>
      <c r="AU343">
        <v>0.5696</v>
      </c>
      <c r="AV343">
        <v>1850907.54</v>
      </c>
      <c r="AW343">
        <v>22350.67</v>
      </c>
      <c r="AX343" t="b">
        <v>0</v>
      </c>
      <c r="AY343" t="b">
        <v>0</v>
      </c>
      <c r="AZ343" t="s">
        <v>80</v>
      </c>
      <c r="BA343">
        <v>0</v>
      </c>
      <c r="BB343">
        <v>0</v>
      </c>
      <c r="BC343">
        <v>0</v>
      </c>
      <c r="BD343">
        <v>0</v>
      </c>
      <c r="BE343" t="s">
        <v>108</v>
      </c>
      <c r="BF343" t="b">
        <v>1</v>
      </c>
    </row>
    <row r="344" spans="1:58" x14ac:dyDescent="0.3">
      <c r="A344" t="s">
        <v>863</v>
      </c>
      <c r="B344" t="s">
        <v>67</v>
      </c>
      <c r="C344" t="s">
        <v>864</v>
      </c>
      <c r="D344" t="s">
        <v>69</v>
      </c>
      <c r="E344" t="s">
        <v>70</v>
      </c>
      <c r="F344" t="s">
        <v>86</v>
      </c>
      <c r="G344" s="1">
        <v>44243</v>
      </c>
      <c r="H344" s="1">
        <v>45596</v>
      </c>
      <c r="I344" s="1">
        <v>46043</v>
      </c>
      <c r="J344">
        <v>1175100</v>
      </c>
      <c r="K344">
        <v>60</v>
      </c>
      <c r="L344">
        <v>16</v>
      </c>
      <c r="M344">
        <v>44</v>
      </c>
      <c r="N344">
        <v>12.56</v>
      </c>
      <c r="O344">
        <v>26473.200000000001</v>
      </c>
      <c r="P344" t="s">
        <v>72</v>
      </c>
      <c r="Q344">
        <v>293272.78000000003</v>
      </c>
      <c r="R344">
        <v>26473.200000000001</v>
      </c>
      <c r="S344">
        <v>25235.11</v>
      </c>
      <c r="T344" s="1">
        <v>45570</v>
      </c>
      <c r="U344" t="s">
        <v>73</v>
      </c>
      <c r="V344">
        <v>0</v>
      </c>
      <c r="W344">
        <v>44</v>
      </c>
      <c r="X344">
        <v>44</v>
      </c>
      <c r="Y344">
        <v>0</v>
      </c>
      <c r="Z344">
        <v>0</v>
      </c>
      <c r="AA344">
        <v>0</v>
      </c>
      <c r="AB344" t="s">
        <v>104</v>
      </c>
      <c r="AC344" t="s">
        <v>156</v>
      </c>
      <c r="AD344">
        <v>2021</v>
      </c>
      <c r="AE344" t="s">
        <v>76</v>
      </c>
      <c r="AF344" t="b">
        <v>1</v>
      </c>
      <c r="AG344">
        <v>1790000</v>
      </c>
      <c r="AH344">
        <v>906904.79</v>
      </c>
      <c r="AI344">
        <v>0.65649999999999997</v>
      </c>
      <c r="AJ344">
        <v>0.34710000000000002</v>
      </c>
      <c r="AK344">
        <v>37</v>
      </c>
      <c r="AL344" t="s">
        <v>106</v>
      </c>
      <c r="AM344">
        <v>885000</v>
      </c>
      <c r="AN344">
        <v>0.35899999999999999</v>
      </c>
      <c r="AO344">
        <v>657</v>
      </c>
      <c r="AP344">
        <v>633</v>
      </c>
      <c r="AQ344" t="s">
        <v>78</v>
      </c>
      <c r="AR344" t="s">
        <v>133</v>
      </c>
      <c r="AS344">
        <v>1</v>
      </c>
      <c r="AT344">
        <v>2.4500000000000001E-2</v>
      </c>
      <c r="AU344">
        <v>0.62270000000000003</v>
      </c>
      <c r="AV344">
        <v>296863.37</v>
      </c>
      <c r="AW344">
        <v>4528.99</v>
      </c>
      <c r="AX344" t="b">
        <v>0</v>
      </c>
      <c r="AY344" t="b">
        <v>0</v>
      </c>
      <c r="AZ344" t="s">
        <v>80</v>
      </c>
      <c r="BA344">
        <v>0</v>
      </c>
      <c r="BB344">
        <v>0</v>
      </c>
      <c r="BC344">
        <v>0</v>
      </c>
      <c r="BD344">
        <v>0</v>
      </c>
      <c r="BE344" t="s">
        <v>108</v>
      </c>
      <c r="BF344" t="b">
        <v>1</v>
      </c>
    </row>
    <row r="345" spans="1:58" x14ac:dyDescent="0.3">
      <c r="A345" t="s">
        <v>865</v>
      </c>
      <c r="B345" t="s">
        <v>67</v>
      </c>
      <c r="C345" t="s">
        <v>866</v>
      </c>
      <c r="D345" t="s">
        <v>69</v>
      </c>
      <c r="E345" t="s">
        <v>70</v>
      </c>
      <c r="F345" t="s">
        <v>71</v>
      </c>
      <c r="G345" s="1">
        <v>45159</v>
      </c>
      <c r="H345" s="1">
        <v>45596</v>
      </c>
      <c r="I345" s="1">
        <v>47679</v>
      </c>
      <c r="J345">
        <v>2510000</v>
      </c>
      <c r="K345">
        <v>84</v>
      </c>
      <c r="L345">
        <v>70</v>
      </c>
      <c r="M345">
        <v>14</v>
      </c>
      <c r="N345">
        <v>12.03</v>
      </c>
      <c r="O345">
        <v>44348.639999999999</v>
      </c>
      <c r="P345" t="s">
        <v>72</v>
      </c>
      <c r="Q345">
        <v>2050096.09</v>
      </c>
      <c r="R345">
        <v>44348.639999999999</v>
      </c>
      <c r="S345">
        <v>43756.43</v>
      </c>
      <c r="T345" s="1">
        <v>45575</v>
      </c>
      <c r="U345" t="s">
        <v>73</v>
      </c>
      <c r="V345">
        <v>0</v>
      </c>
      <c r="W345">
        <v>14</v>
      </c>
      <c r="X345">
        <v>14</v>
      </c>
      <c r="Y345">
        <v>0</v>
      </c>
      <c r="Z345">
        <v>0</v>
      </c>
      <c r="AA345">
        <v>0</v>
      </c>
      <c r="AB345" t="s">
        <v>174</v>
      </c>
      <c r="AC345" t="s">
        <v>305</v>
      </c>
      <c r="AD345">
        <v>2023</v>
      </c>
      <c r="AE345" t="s">
        <v>119</v>
      </c>
      <c r="AF345" t="b">
        <v>1</v>
      </c>
      <c r="AG345">
        <v>3185000</v>
      </c>
      <c r="AH345">
        <v>2460159.2799999998</v>
      </c>
      <c r="AI345">
        <v>0.78810000000000002</v>
      </c>
      <c r="AJ345">
        <v>0.77359999999999995</v>
      </c>
      <c r="AK345">
        <v>51</v>
      </c>
      <c r="AL345" t="s">
        <v>120</v>
      </c>
      <c r="AM345">
        <v>4190000</v>
      </c>
      <c r="AN345">
        <v>0.127</v>
      </c>
      <c r="AO345">
        <v>665</v>
      </c>
      <c r="AP345">
        <v>652</v>
      </c>
      <c r="AQ345" t="s">
        <v>127</v>
      </c>
      <c r="AR345" t="s">
        <v>128</v>
      </c>
      <c r="AS345">
        <v>1</v>
      </c>
      <c r="AT345">
        <v>2.4199999999999999E-2</v>
      </c>
      <c r="AU345">
        <v>0.57740000000000002</v>
      </c>
      <c r="AV345">
        <v>2109529.6</v>
      </c>
      <c r="AW345">
        <v>29476.63</v>
      </c>
      <c r="AX345" t="b">
        <v>0</v>
      </c>
      <c r="AY345" t="b">
        <v>0</v>
      </c>
      <c r="AZ345" t="s">
        <v>80</v>
      </c>
      <c r="BA345">
        <v>0</v>
      </c>
      <c r="BB345">
        <v>0</v>
      </c>
      <c r="BC345">
        <v>0</v>
      </c>
      <c r="BD345">
        <v>0</v>
      </c>
      <c r="BE345" t="s">
        <v>108</v>
      </c>
      <c r="BF345" t="b">
        <v>0</v>
      </c>
    </row>
    <row r="346" spans="1:58" x14ac:dyDescent="0.3">
      <c r="A346" t="s">
        <v>867</v>
      </c>
      <c r="B346" t="s">
        <v>67</v>
      </c>
      <c r="C346" t="s">
        <v>868</v>
      </c>
      <c r="D346" t="s">
        <v>84</v>
      </c>
      <c r="E346" t="s">
        <v>85</v>
      </c>
      <c r="F346" t="s">
        <v>86</v>
      </c>
      <c r="G346" s="1">
        <v>44694</v>
      </c>
      <c r="H346" s="1">
        <v>45596</v>
      </c>
      <c r="I346" s="1">
        <v>46854</v>
      </c>
      <c r="J346">
        <v>1585500</v>
      </c>
      <c r="K346">
        <v>72</v>
      </c>
      <c r="L346">
        <v>43</v>
      </c>
      <c r="M346">
        <v>29</v>
      </c>
      <c r="N346">
        <v>12.77</v>
      </c>
      <c r="O346">
        <v>31635.35</v>
      </c>
      <c r="P346" t="s">
        <v>72</v>
      </c>
      <c r="Q346">
        <v>959723.51</v>
      </c>
      <c r="R346">
        <v>31635.35</v>
      </c>
      <c r="S346">
        <v>31445.1</v>
      </c>
      <c r="T346" s="1">
        <v>45578</v>
      </c>
      <c r="U346" t="s">
        <v>73</v>
      </c>
      <c r="V346">
        <v>0</v>
      </c>
      <c r="W346">
        <v>29</v>
      </c>
      <c r="X346">
        <v>29</v>
      </c>
      <c r="Y346">
        <v>0</v>
      </c>
      <c r="Z346">
        <v>0</v>
      </c>
      <c r="AA346">
        <v>0</v>
      </c>
      <c r="AB346" t="s">
        <v>164</v>
      </c>
      <c r="AC346" t="s">
        <v>279</v>
      </c>
      <c r="AD346">
        <v>2022</v>
      </c>
      <c r="AE346" t="s">
        <v>119</v>
      </c>
      <c r="AF346" t="b">
        <v>1</v>
      </c>
      <c r="AG346">
        <v>2533000</v>
      </c>
      <c r="AH346">
        <v>1537376.85</v>
      </c>
      <c r="AI346">
        <v>0.62590000000000001</v>
      </c>
      <c r="AJ346">
        <v>0.58109999999999995</v>
      </c>
      <c r="AK346">
        <v>42</v>
      </c>
      <c r="AL346" t="s">
        <v>120</v>
      </c>
      <c r="AM346">
        <v>1854000</v>
      </c>
      <c r="AN346">
        <v>0.20480000000000001</v>
      </c>
      <c r="AO346">
        <v>765</v>
      </c>
      <c r="AP346">
        <v>748</v>
      </c>
      <c r="AQ346" t="s">
        <v>78</v>
      </c>
      <c r="AR346" t="s">
        <v>133</v>
      </c>
      <c r="AS346">
        <v>1</v>
      </c>
      <c r="AT346">
        <v>2.2599999999999999E-2</v>
      </c>
      <c r="AU346">
        <v>0.442</v>
      </c>
      <c r="AV346">
        <v>994073.77</v>
      </c>
      <c r="AW346">
        <v>9930</v>
      </c>
      <c r="AX346" t="b">
        <v>0</v>
      </c>
      <c r="AY346" t="b">
        <v>0</v>
      </c>
      <c r="AZ346" t="s">
        <v>80</v>
      </c>
      <c r="BA346">
        <v>0</v>
      </c>
      <c r="BB346">
        <v>0</v>
      </c>
      <c r="BC346">
        <v>0</v>
      </c>
      <c r="BD346">
        <v>0</v>
      </c>
      <c r="BE346" t="s">
        <v>108</v>
      </c>
      <c r="BF346" t="b">
        <v>1</v>
      </c>
    </row>
    <row r="347" spans="1:58" x14ac:dyDescent="0.3">
      <c r="A347" t="s">
        <v>869</v>
      </c>
      <c r="B347" t="s">
        <v>67</v>
      </c>
      <c r="C347" t="s">
        <v>870</v>
      </c>
      <c r="D347" t="s">
        <v>84</v>
      </c>
      <c r="E347" t="s">
        <v>85</v>
      </c>
      <c r="F347" t="s">
        <v>124</v>
      </c>
      <c r="G347" s="1">
        <v>44460</v>
      </c>
      <c r="H347" s="1">
        <v>45596</v>
      </c>
      <c r="I347" s="1">
        <v>45900</v>
      </c>
      <c r="J347">
        <v>1016300</v>
      </c>
      <c r="K347">
        <v>48</v>
      </c>
      <c r="L347">
        <v>11</v>
      </c>
      <c r="M347">
        <v>37</v>
      </c>
      <c r="N347">
        <v>11.58</v>
      </c>
      <c r="O347">
        <v>26553.98</v>
      </c>
      <c r="P347" t="s">
        <v>72</v>
      </c>
      <c r="Q347">
        <v>214795</v>
      </c>
      <c r="R347">
        <v>26553.98</v>
      </c>
      <c r="S347">
        <v>4385.21</v>
      </c>
      <c r="T347" s="1">
        <v>45587</v>
      </c>
      <c r="U347" t="s">
        <v>140</v>
      </c>
      <c r="V347">
        <v>248</v>
      </c>
      <c r="W347">
        <v>37</v>
      </c>
      <c r="X347">
        <v>33</v>
      </c>
      <c r="Y347">
        <v>3</v>
      </c>
      <c r="Z347">
        <v>1</v>
      </c>
      <c r="AA347">
        <v>2</v>
      </c>
      <c r="AB347" t="s">
        <v>208</v>
      </c>
      <c r="AC347" t="s">
        <v>364</v>
      </c>
      <c r="AD347">
        <v>2021</v>
      </c>
      <c r="AE347" t="s">
        <v>166</v>
      </c>
      <c r="AF347" t="b">
        <v>1</v>
      </c>
      <c r="AG347">
        <v>1495000</v>
      </c>
      <c r="AH347">
        <v>794366.29</v>
      </c>
      <c r="AI347">
        <v>0.67979999999999996</v>
      </c>
      <c r="AJ347">
        <v>0.25840000000000002</v>
      </c>
      <c r="AK347">
        <v>41</v>
      </c>
      <c r="AL347" t="s">
        <v>106</v>
      </c>
      <c r="AM347">
        <v>3880000</v>
      </c>
      <c r="AN347">
        <v>8.2100000000000006E-2</v>
      </c>
      <c r="AO347">
        <v>782</v>
      </c>
      <c r="AP347">
        <v>783</v>
      </c>
      <c r="AQ347" t="s">
        <v>127</v>
      </c>
      <c r="AR347" t="s">
        <v>153</v>
      </c>
      <c r="AS347">
        <v>3</v>
      </c>
      <c r="AT347">
        <v>0.68440000000000001</v>
      </c>
      <c r="AU347">
        <v>0.61909999999999998</v>
      </c>
      <c r="AV347">
        <v>214947.85</v>
      </c>
      <c r="AW347">
        <v>91075.99</v>
      </c>
      <c r="AX347" t="b">
        <v>0</v>
      </c>
      <c r="AY347" t="b">
        <v>0</v>
      </c>
      <c r="AZ347" t="s">
        <v>80</v>
      </c>
      <c r="BA347">
        <v>0</v>
      </c>
      <c r="BB347">
        <v>0</v>
      </c>
      <c r="BC347">
        <v>0</v>
      </c>
      <c r="BD347">
        <v>0</v>
      </c>
      <c r="BE347" t="s">
        <v>134</v>
      </c>
      <c r="BF347" t="b">
        <v>1</v>
      </c>
    </row>
    <row r="348" spans="1:58" x14ac:dyDescent="0.3">
      <c r="A348" t="s">
        <v>871</v>
      </c>
      <c r="B348" t="s">
        <v>67</v>
      </c>
      <c r="C348" t="s">
        <v>872</v>
      </c>
      <c r="D348" t="s">
        <v>84</v>
      </c>
      <c r="E348" t="s">
        <v>85</v>
      </c>
      <c r="F348" t="s">
        <v>71</v>
      </c>
      <c r="G348" s="1">
        <v>44441</v>
      </c>
      <c r="H348" s="1">
        <v>45596</v>
      </c>
      <c r="I348" s="1">
        <v>46961</v>
      </c>
      <c r="J348">
        <v>1562900</v>
      </c>
      <c r="K348">
        <v>84</v>
      </c>
      <c r="L348">
        <v>47</v>
      </c>
      <c r="M348">
        <v>37</v>
      </c>
      <c r="N348">
        <v>13.79</v>
      </c>
      <c r="O348">
        <v>29107.759999999998</v>
      </c>
      <c r="P348" t="s">
        <v>72</v>
      </c>
      <c r="Q348">
        <v>884279.78</v>
      </c>
      <c r="R348">
        <v>29107.759999999998</v>
      </c>
      <c r="S348">
        <v>28317.02</v>
      </c>
      <c r="T348" s="1">
        <v>45567</v>
      </c>
      <c r="U348" t="s">
        <v>73</v>
      </c>
      <c r="V348">
        <v>0</v>
      </c>
      <c r="W348">
        <v>37</v>
      </c>
      <c r="X348">
        <v>37</v>
      </c>
      <c r="Y348">
        <v>0</v>
      </c>
      <c r="Z348">
        <v>0</v>
      </c>
      <c r="AA348">
        <v>0</v>
      </c>
      <c r="AB348" t="s">
        <v>125</v>
      </c>
      <c r="AC348" t="s">
        <v>238</v>
      </c>
      <c r="AD348">
        <v>2021</v>
      </c>
      <c r="AE348" t="s">
        <v>90</v>
      </c>
      <c r="AF348" t="b">
        <v>1</v>
      </c>
      <c r="AG348">
        <v>1704000</v>
      </c>
      <c r="AH348">
        <v>886302.02</v>
      </c>
      <c r="AI348">
        <v>0.91720000000000002</v>
      </c>
      <c r="AJ348">
        <v>0.93340000000000001</v>
      </c>
      <c r="AK348">
        <v>27</v>
      </c>
      <c r="AL348" t="s">
        <v>120</v>
      </c>
      <c r="AM348">
        <v>3244000</v>
      </c>
      <c r="AN348">
        <v>0.1077</v>
      </c>
      <c r="AO348">
        <v>734</v>
      </c>
      <c r="AP348">
        <v>748</v>
      </c>
      <c r="AQ348" t="s">
        <v>145</v>
      </c>
      <c r="AR348" t="s">
        <v>157</v>
      </c>
      <c r="AS348">
        <v>1</v>
      </c>
      <c r="AT348">
        <v>1.6899999999999998E-2</v>
      </c>
      <c r="AU348">
        <v>0.58919999999999995</v>
      </c>
      <c r="AV348">
        <v>892357</v>
      </c>
      <c r="AW348">
        <v>8885.6299999999992</v>
      </c>
      <c r="AX348" t="b">
        <v>0</v>
      </c>
      <c r="AY348" t="b">
        <v>0</v>
      </c>
      <c r="AZ348" t="s">
        <v>80</v>
      </c>
      <c r="BA348">
        <v>0</v>
      </c>
      <c r="BB348">
        <v>0</v>
      </c>
      <c r="BC348">
        <v>0</v>
      </c>
      <c r="BD348">
        <v>0</v>
      </c>
      <c r="BE348" t="s">
        <v>108</v>
      </c>
      <c r="BF348" t="b">
        <v>0</v>
      </c>
    </row>
    <row r="349" spans="1:58" x14ac:dyDescent="0.3">
      <c r="A349" t="s">
        <v>873</v>
      </c>
      <c r="B349" t="s">
        <v>67</v>
      </c>
      <c r="C349" t="s">
        <v>874</v>
      </c>
      <c r="D349" t="s">
        <v>69</v>
      </c>
      <c r="E349" t="s">
        <v>70</v>
      </c>
      <c r="F349" t="s">
        <v>124</v>
      </c>
      <c r="G349" s="1">
        <v>45444</v>
      </c>
      <c r="H349" s="1">
        <v>45596</v>
      </c>
      <c r="I349" s="1">
        <v>46884</v>
      </c>
      <c r="J349">
        <v>1498700</v>
      </c>
      <c r="K349">
        <v>48</v>
      </c>
      <c r="L349">
        <v>44</v>
      </c>
      <c r="M349">
        <v>4</v>
      </c>
      <c r="N349">
        <v>11.16</v>
      </c>
      <c r="O349">
        <v>38851.24</v>
      </c>
      <c r="P349" t="s">
        <v>72</v>
      </c>
      <c r="Q349">
        <v>1248970.05</v>
      </c>
      <c r="R349">
        <v>38851.24</v>
      </c>
      <c r="S349">
        <v>38628.400000000001</v>
      </c>
      <c r="T349" s="1">
        <v>45584</v>
      </c>
      <c r="U349" t="s">
        <v>73</v>
      </c>
      <c r="V349">
        <v>0</v>
      </c>
      <c r="W349">
        <v>4</v>
      </c>
      <c r="X349">
        <v>4</v>
      </c>
      <c r="Y349">
        <v>0</v>
      </c>
      <c r="Z349">
        <v>0</v>
      </c>
      <c r="AA349">
        <v>0</v>
      </c>
      <c r="AB349" t="s">
        <v>88</v>
      </c>
      <c r="AC349" t="s">
        <v>181</v>
      </c>
      <c r="AD349">
        <v>2024</v>
      </c>
      <c r="AE349" t="s">
        <v>76</v>
      </c>
      <c r="AF349" t="b">
        <v>1</v>
      </c>
      <c r="AG349">
        <v>1627000</v>
      </c>
      <c r="AH349">
        <v>1576455.14</v>
      </c>
      <c r="AI349">
        <v>0.92110000000000003</v>
      </c>
      <c r="AJ349">
        <v>0.80640000000000001</v>
      </c>
      <c r="AK349">
        <v>37</v>
      </c>
      <c r="AL349" t="s">
        <v>120</v>
      </c>
      <c r="AM349">
        <v>2482000</v>
      </c>
      <c r="AN349">
        <v>0.18779999999999999</v>
      </c>
      <c r="AO349">
        <v>787</v>
      </c>
      <c r="AP349">
        <v>743</v>
      </c>
      <c r="AQ349" t="s">
        <v>91</v>
      </c>
      <c r="AR349" t="s">
        <v>252</v>
      </c>
      <c r="AS349">
        <v>1</v>
      </c>
      <c r="AT349">
        <v>1.7600000000000001E-2</v>
      </c>
      <c r="AU349">
        <v>0.35289999999999999</v>
      </c>
      <c r="AV349">
        <v>1275807.6499999999</v>
      </c>
      <c r="AW349">
        <v>7924.09</v>
      </c>
      <c r="AX349" t="b">
        <v>0</v>
      </c>
      <c r="AY349" t="b">
        <v>0</v>
      </c>
      <c r="AZ349" t="s">
        <v>80</v>
      </c>
      <c r="BA349">
        <v>0</v>
      </c>
      <c r="BB349">
        <v>0</v>
      </c>
      <c r="BC349">
        <v>0</v>
      </c>
      <c r="BD349">
        <v>0</v>
      </c>
      <c r="BE349" t="s">
        <v>108</v>
      </c>
      <c r="BF349" t="b">
        <v>0</v>
      </c>
    </row>
    <row r="350" spans="1:58" x14ac:dyDescent="0.3">
      <c r="A350" t="s">
        <v>875</v>
      </c>
      <c r="B350" t="s">
        <v>67</v>
      </c>
      <c r="C350" t="s">
        <v>876</v>
      </c>
      <c r="D350" t="s">
        <v>95</v>
      </c>
      <c r="E350" t="s">
        <v>96</v>
      </c>
      <c r="F350" t="s">
        <v>124</v>
      </c>
      <c r="G350" s="1">
        <v>45497</v>
      </c>
      <c r="H350" s="1">
        <v>45596</v>
      </c>
      <c r="I350" s="1">
        <v>47657</v>
      </c>
      <c r="J350">
        <v>2299300</v>
      </c>
      <c r="K350">
        <v>72</v>
      </c>
      <c r="L350">
        <v>69</v>
      </c>
      <c r="M350">
        <v>3</v>
      </c>
      <c r="N350">
        <v>11.92</v>
      </c>
      <c r="O350">
        <v>44856.160000000003</v>
      </c>
      <c r="P350" t="s">
        <v>72</v>
      </c>
      <c r="Q350">
        <v>2091769.58</v>
      </c>
      <c r="R350">
        <v>44856.160000000003</v>
      </c>
      <c r="S350">
        <v>44601.37</v>
      </c>
      <c r="T350" s="1">
        <v>45562</v>
      </c>
      <c r="U350" t="s">
        <v>73</v>
      </c>
      <c r="V350">
        <v>0</v>
      </c>
      <c r="W350">
        <v>3</v>
      </c>
      <c r="X350">
        <v>3</v>
      </c>
      <c r="Y350">
        <v>0</v>
      </c>
      <c r="Z350">
        <v>0</v>
      </c>
      <c r="AA350">
        <v>0</v>
      </c>
      <c r="AB350" t="s">
        <v>104</v>
      </c>
      <c r="AC350" t="s">
        <v>156</v>
      </c>
      <c r="AD350">
        <v>2024</v>
      </c>
      <c r="AE350" t="s">
        <v>119</v>
      </c>
      <c r="AF350" t="b">
        <v>1</v>
      </c>
      <c r="AG350">
        <v>2837000</v>
      </c>
      <c r="AH350">
        <v>2911298.54</v>
      </c>
      <c r="AI350">
        <v>0.8105</v>
      </c>
      <c r="AJ350">
        <v>0.76490000000000002</v>
      </c>
      <c r="AK350">
        <v>54</v>
      </c>
      <c r="AL350" t="s">
        <v>106</v>
      </c>
      <c r="AM350">
        <v>1918000</v>
      </c>
      <c r="AN350">
        <v>0.28060000000000002</v>
      </c>
      <c r="AO350">
        <v>786</v>
      </c>
      <c r="AP350">
        <v>767</v>
      </c>
      <c r="AQ350" t="s">
        <v>91</v>
      </c>
      <c r="AR350" t="s">
        <v>192</v>
      </c>
      <c r="AS350">
        <v>1</v>
      </c>
      <c r="AT350">
        <v>1.6E-2</v>
      </c>
      <c r="AU350">
        <v>0.36969999999999997</v>
      </c>
      <c r="AV350">
        <v>2136953.36</v>
      </c>
      <c r="AW350">
        <v>12640.51</v>
      </c>
      <c r="AX350" t="b">
        <v>0</v>
      </c>
      <c r="AY350" t="b">
        <v>1</v>
      </c>
      <c r="AZ350" t="s">
        <v>290</v>
      </c>
      <c r="BA350">
        <v>0</v>
      </c>
      <c r="BB350">
        <v>0</v>
      </c>
      <c r="BC350">
        <v>0</v>
      </c>
      <c r="BD350">
        <v>0</v>
      </c>
      <c r="BE350" t="s">
        <v>108</v>
      </c>
      <c r="BF350" t="b">
        <v>0</v>
      </c>
    </row>
    <row r="351" spans="1:58" x14ac:dyDescent="0.3">
      <c r="A351" t="s">
        <v>877</v>
      </c>
      <c r="B351" t="s">
        <v>67</v>
      </c>
      <c r="C351" t="s">
        <v>878</v>
      </c>
      <c r="D351" t="s">
        <v>84</v>
      </c>
      <c r="E351" t="s">
        <v>85</v>
      </c>
      <c r="F351" t="s">
        <v>86</v>
      </c>
      <c r="G351" s="1">
        <v>44593</v>
      </c>
      <c r="H351" s="1">
        <v>45596</v>
      </c>
      <c r="I351" s="1">
        <v>46753</v>
      </c>
      <c r="J351">
        <v>899500</v>
      </c>
      <c r="K351">
        <v>72</v>
      </c>
      <c r="L351">
        <v>40</v>
      </c>
      <c r="M351">
        <v>32</v>
      </c>
      <c r="N351">
        <v>8.2200000000000006</v>
      </c>
      <c r="O351">
        <v>15867.95</v>
      </c>
      <c r="P351" t="s">
        <v>72</v>
      </c>
      <c r="Q351">
        <v>472242.1</v>
      </c>
      <c r="R351">
        <v>15867.95</v>
      </c>
      <c r="S351">
        <v>15604.1</v>
      </c>
      <c r="T351" s="1">
        <v>45574</v>
      </c>
      <c r="U351" t="s">
        <v>73</v>
      </c>
      <c r="V351">
        <v>0</v>
      </c>
      <c r="W351">
        <v>32</v>
      </c>
      <c r="X351">
        <v>32</v>
      </c>
      <c r="Y351">
        <v>0</v>
      </c>
      <c r="Z351">
        <v>0</v>
      </c>
      <c r="AA351">
        <v>0</v>
      </c>
      <c r="AB351" t="s">
        <v>74</v>
      </c>
      <c r="AC351" t="s">
        <v>420</v>
      </c>
      <c r="AD351">
        <v>2022</v>
      </c>
      <c r="AE351" t="s">
        <v>90</v>
      </c>
      <c r="AF351" t="b">
        <v>1</v>
      </c>
      <c r="AG351">
        <v>1036000</v>
      </c>
      <c r="AH351">
        <v>680197.5</v>
      </c>
      <c r="AI351">
        <v>0.86819999999999997</v>
      </c>
      <c r="AJ351">
        <v>0.74</v>
      </c>
      <c r="AK351">
        <v>37</v>
      </c>
      <c r="AL351" t="s">
        <v>77</v>
      </c>
      <c r="AM351">
        <v>1822000</v>
      </c>
      <c r="AN351">
        <v>0.1045</v>
      </c>
      <c r="AO351">
        <v>699</v>
      </c>
      <c r="AP351">
        <v>699</v>
      </c>
      <c r="AQ351" t="s">
        <v>100</v>
      </c>
      <c r="AR351" t="s">
        <v>229</v>
      </c>
      <c r="AS351">
        <v>1</v>
      </c>
      <c r="AT351">
        <v>1.67E-2</v>
      </c>
      <c r="AU351">
        <v>0.4289</v>
      </c>
      <c r="AV351">
        <v>494303.6</v>
      </c>
      <c r="AW351">
        <v>3540.51</v>
      </c>
      <c r="AX351" t="b">
        <v>0</v>
      </c>
      <c r="AY351" t="b">
        <v>0</v>
      </c>
      <c r="AZ351" t="s">
        <v>80</v>
      </c>
      <c r="BA351">
        <v>0</v>
      </c>
      <c r="BB351">
        <v>0</v>
      </c>
      <c r="BC351">
        <v>0</v>
      </c>
      <c r="BD351">
        <v>0</v>
      </c>
      <c r="BE351" t="s">
        <v>134</v>
      </c>
      <c r="BF351" t="b">
        <v>1</v>
      </c>
    </row>
    <row r="352" spans="1:58" x14ac:dyDescent="0.3">
      <c r="A352" t="s">
        <v>879</v>
      </c>
      <c r="B352" t="s">
        <v>67</v>
      </c>
      <c r="C352" t="s">
        <v>880</v>
      </c>
      <c r="D352" t="s">
        <v>84</v>
      </c>
      <c r="E352" t="s">
        <v>85</v>
      </c>
      <c r="F352" t="s">
        <v>71</v>
      </c>
      <c r="G352" s="1">
        <v>44842</v>
      </c>
      <c r="H352" s="1">
        <v>45596</v>
      </c>
      <c r="I352" s="1">
        <v>47002</v>
      </c>
      <c r="J352">
        <v>1721100</v>
      </c>
      <c r="K352">
        <v>72</v>
      </c>
      <c r="L352">
        <v>48</v>
      </c>
      <c r="M352">
        <v>24</v>
      </c>
      <c r="N352">
        <v>7.89</v>
      </c>
      <c r="O352">
        <v>30084.1</v>
      </c>
      <c r="P352" t="s">
        <v>72</v>
      </c>
      <c r="Q352">
        <v>1103016.46</v>
      </c>
      <c r="R352">
        <v>30084.1</v>
      </c>
      <c r="S352">
        <v>29559.08</v>
      </c>
      <c r="T352" s="1">
        <v>45566</v>
      </c>
      <c r="U352" t="s">
        <v>73</v>
      </c>
      <c r="V352">
        <v>0</v>
      </c>
      <c r="W352">
        <v>24</v>
      </c>
      <c r="X352">
        <v>24</v>
      </c>
      <c r="Y352">
        <v>0</v>
      </c>
      <c r="Z352">
        <v>0</v>
      </c>
      <c r="AA352">
        <v>0</v>
      </c>
      <c r="AB352" t="s">
        <v>164</v>
      </c>
      <c r="AC352" t="s">
        <v>165</v>
      </c>
      <c r="AD352">
        <v>2022</v>
      </c>
      <c r="AE352" t="s">
        <v>166</v>
      </c>
      <c r="AF352" t="b">
        <v>1</v>
      </c>
      <c r="AG352">
        <v>2859000</v>
      </c>
      <c r="AH352">
        <v>2215349.81</v>
      </c>
      <c r="AI352">
        <v>0.60199999999999998</v>
      </c>
      <c r="AJ352">
        <v>0.54190000000000005</v>
      </c>
      <c r="AK352">
        <v>32</v>
      </c>
      <c r="AL352" t="s">
        <v>120</v>
      </c>
      <c r="AM352">
        <v>3905000</v>
      </c>
      <c r="AN352">
        <v>9.2399999999999996E-2</v>
      </c>
      <c r="AO352">
        <v>654</v>
      </c>
      <c r="AP352">
        <v>629</v>
      </c>
      <c r="AQ352" t="s">
        <v>100</v>
      </c>
      <c r="AR352" t="s">
        <v>101</v>
      </c>
      <c r="AS352">
        <v>1</v>
      </c>
      <c r="AT352">
        <v>2.3599999999999999E-2</v>
      </c>
      <c r="AU352">
        <v>0.5353</v>
      </c>
      <c r="AV352">
        <v>1127288.51</v>
      </c>
      <c r="AW352">
        <v>14241.13</v>
      </c>
      <c r="AX352" t="b">
        <v>0</v>
      </c>
      <c r="AY352" t="b">
        <v>0</v>
      </c>
      <c r="AZ352" t="s">
        <v>80</v>
      </c>
      <c r="BA352">
        <v>0</v>
      </c>
      <c r="BB352">
        <v>0</v>
      </c>
      <c r="BC352">
        <v>0</v>
      </c>
      <c r="BD352">
        <v>0</v>
      </c>
      <c r="BE352" t="s">
        <v>81</v>
      </c>
      <c r="BF352" t="b">
        <v>1</v>
      </c>
    </row>
    <row r="353" spans="1:58" x14ac:dyDescent="0.3">
      <c r="A353" t="s">
        <v>881</v>
      </c>
      <c r="B353" t="s">
        <v>67</v>
      </c>
      <c r="C353" t="s">
        <v>882</v>
      </c>
      <c r="D353" t="s">
        <v>69</v>
      </c>
      <c r="E353" t="s">
        <v>70</v>
      </c>
      <c r="F353" t="s">
        <v>115</v>
      </c>
      <c r="G353" s="1">
        <v>45411</v>
      </c>
      <c r="H353" s="1">
        <v>45596</v>
      </c>
      <c r="I353" s="1">
        <v>47571</v>
      </c>
      <c r="J353">
        <v>2439400</v>
      </c>
      <c r="K353">
        <v>72</v>
      </c>
      <c r="L353">
        <v>66</v>
      </c>
      <c r="M353">
        <v>6</v>
      </c>
      <c r="N353">
        <v>9.25</v>
      </c>
      <c r="O353">
        <v>44274.78</v>
      </c>
      <c r="P353" t="s">
        <v>72</v>
      </c>
      <c r="Q353">
        <v>2343538.3199999998</v>
      </c>
      <c r="R353">
        <v>44274.78</v>
      </c>
      <c r="S353">
        <v>24424.45</v>
      </c>
      <c r="T353" s="1">
        <v>45588</v>
      </c>
      <c r="U353" t="s">
        <v>131</v>
      </c>
      <c r="V353">
        <v>64</v>
      </c>
      <c r="W353">
        <v>6</v>
      </c>
      <c r="X353">
        <v>1</v>
      </c>
      <c r="Y353">
        <v>1</v>
      </c>
      <c r="Z353">
        <v>0</v>
      </c>
      <c r="AA353">
        <v>2</v>
      </c>
      <c r="AB353" t="s">
        <v>164</v>
      </c>
      <c r="AC353" t="s">
        <v>279</v>
      </c>
      <c r="AD353">
        <v>2024</v>
      </c>
      <c r="AE353" t="s">
        <v>166</v>
      </c>
      <c r="AF353" t="b">
        <v>1</v>
      </c>
      <c r="AG353">
        <v>2657000</v>
      </c>
      <c r="AH353">
        <v>2599879.5299999998</v>
      </c>
      <c r="AI353">
        <v>0.91810000000000003</v>
      </c>
      <c r="AJ353">
        <v>0.95050000000000001</v>
      </c>
      <c r="AK353">
        <v>46</v>
      </c>
      <c r="AL353" t="s">
        <v>132</v>
      </c>
      <c r="AM353">
        <v>2063000</v>
      </c>
      <c r="AN353">
        <v>0.25750000000000001</v>
      </c>
      <c r="AO353">
        <v>720</v>
      </c>
      <c r="AP353">
        <v>738</v>
      </c>
      <c r="AQ353" t="s">
        <v>91</v>
      </c>
      <c r="AR353" t="s">
        <v>192</v>
      </c>
      <c r="AS353">
        <v>2</v>
      </c>
      <c r="AT353">
        <v>0.11559999999999999</v>
      </c>
      <c r="AU353">
        <v>0.44840000000000002</v>
      </c>
      <c r="AV353">
        <v>2407585.48</v>
      </c>
      <c r="AW353">
        <v>124797.29</v>
      </c>
      <c r="AX353" t="b">
        <v>0</v>
      </c>
      <c r="AY353" t="b">
        <v>0</v>
      </c>
      <c r="AZ353" t="s">
        <v>80</v>
      </c>
      <c r="BA353">
        <v>0</v>
      </c>
      <c r="BB353">
        <v>0</v>
      </c>
      <c r="BC353">
        <v>0</v>
      </c>
      <c r="BD353">
        <v>0</v>
      </c>
      <c r="BE353" t="s">
        <v>134</v>
      </c>
      <c r="BF353" t="b">
        <v>1</v>
      </c>
    </row>
    <row r="354" spans="1:58" x14ac:dyDescent="0.3">
      <c r="A354" t="s">
        <v>883</v>
      </c>
      <c r="B354" t="s">
        <v>67</v>
      </c>
      <c r="C354" t="s">
        <v>884</v>
      </c>
      <c r="D354" t="s">
        <v>84</v>
      </c>
      <c r="E354" t="s">
        <v>85</v>
      </c>
      <c r="F354" t="s">
        <v>86</v>
      </c>
      <c r="G354" s="1">
        <v>44336</v>
      </c>
      <c r="H354" s="1">
        <v>45596</v>
      </c>
      <c r="I354" s="1">
        <v>46136</v>
      </c>
      <c r="J354">
        <v>1902700</v>
      </c>
      <c r="K354">
        <v>60</v>
      </c>
      <c r="L354">
        <v>19</v>
      </c>
      <c r="M354">
        <v>41</v>
      </c>
      <c r="N354">
        <v>10.78</v>
      </c>
      <c r="O354">
        <v>41160.86</v>
      </c>
      <c r="P354" t="s">
        <v>72</v>
      </c>
      <c r="Q354">
        <v>583916.13</v>
      </c>
      <c r="R354">
        <v>41160.86</v>
      </c>
      <c r="S354">
        <v>42355.09</v>
      </c>
      <c r="T354" s="1">
        <v>45565</v>
      </c>
      <c r="U354" t="s">
        <v>73</v>
      </c>
      <c r="V354">
        <v>0</v>
      </c>
      <c r="W354">
        <v>41</v>
      </c>
      <c r="X354">
        <v>41</v>
      </c>
      <c r="Y354">
        <v>0</v>
      </c>
      <c r="Z354">
        <v>0</v>
      </c>
      <c r="AA354">
        <v>0</v>
      </c>
      <c r="AB354" t="s">
        <v>111</v>
      </c>
      <c r="AC354" t="s">
        <v>112</v>
      </c>
      <c r="AD354">
        <v>2021</v>
      </c>
      <c r="AE354" t="s">
        <v>166</v>
      </c>
      <c r="AF354" t="b">
        <v>1</v>
      </c>
      <c r="AG354">
        <v>2818000</v>
      </c>
      <c r="AH354">
        <v>1369313.76</v>
      </c>
      <c r="AI354">
        <v>0.67520000000000002</v>
      </c>
      <c r="AJ354">
        <v>0.40789999999999998</v>
      </c>
      <c r="AK354">
        <v>37</v>
      </c>
      <c r="AL354" t="s">
        <v>106</v>
      </c>
      <c r="AM354">
        <v>3890000</v>
      </c>
      <c r="AN354">
        <v>0.127</v>
      </c>
      <c r="AO354">
        <v>655</v>
      </c>
      <c r="AP354">
        <v>622</v>
      </c>
      <c r="AQ354" t="s">
        <v>145</v>
      </c>
      <c r="AR354" t="s">
        <v>182</v>
      </c>
      <c r="AS354">
        <v>1</v>
      </c>
      <c r="AT354">
        <v>1.4200000000000001E-2</v>
      </c>
      <c r="AU354">
        <v>0.48120000000000002</v>
      </c>
      <c r="AV354">
        <v>584852.85</v>
      </c>
      <c r="AW354">
        <v>3996.32</v>
      </c>
      <c r="AX354" t="b">
        <v>0</v>
      </c>
      <c r="AY354" t="b">
        <v>0</v>
      </c>
      <c r="AZ354" t="s">
        <v>80</v>
      </c>
      <c r="BA354">
        <v>0</v>
      </c>
      <c r="BB354">
        <v>0</v>
      </c>
      <c r="BC354">
        <v>0</v>
      </c>
      <c r="BD354">
        <v>0</v>
      </c>
      <c r="BE354" t="s">
        <v>108</v>
      </c>
      <c r="BF354" t="b">
        <v>0</v>
      </c>
    </row>
    <row r="355" spans="1:58" x14ac:dyDescent="0.3">
      <c r="A355" t="s">
        <v>885</v>
      </c>
      <c r="B355" t="s">
        <v>67</v>
      </c>
      <c r="C355" t="s">
        <v>886</v>
      </c>
      <c r="D355" t="s">
        <v>95</v>
      </c>
      <c r="E355" t="s">
        <v>96</v>
      </c>
      <c r="F355" t="s">
        <v>115</v>
      </c>
      <c r="G355" s="1">
        <v>44880</v>
      </c>
      <c r="H355" s="1">
        <v>45596</v>
      </c>
      <c r="I355" s="1">
        <v>47400</v>
      </c>
      <c r="J355">
        <v>904100</v>
      </c>
      <c r="K355">
        <v>84</v>
      </c>
      <c r="L355">
        <v>61</v>
      </c>
      <c r="M355">
        <v>23</v>
      </c>
      <c r="N355">
        <v>13.96</v>
      </c>
      <c r="O355">
        <v>16922.87</v>
      </c>
      <c r="P355" t="s">
        <v>116</v>
      </c>
      <c r="Q355">
        <v>650971.25</v>
      </c>
      <c r="R355">
        <v>16922.87</v>
      </c>
      <c r="S355">
        <v>17065.66</v>
      </c>
      <c r="T355" s="1">
        <v>45576</v>
      </c>
      <c r="U355" t="s">
        <v>73</v>
      </c>
      <c r="V355">
        <v>0</v>
      </c>
      <c r="W355">
        <v>23</v>
      </c>
      <c r="X355">
        <v>23</v>
      </c>
      <c r="Y355">
        <v>0</v>
      </c>
      <c r="Z355">
        <v>0</v>
      </c>
      <c r="AA355">
        <v>0</v>
      </c>
      <c r="AB355" t="s">
        <v>74</v>
      </c>
      <c r="AC355" t="s">
        <v>212</v>
      </c>
      <c r="AD355">
        <v>2021</v>
      </c>
      <c r="AE355" t="s">
        <v>90</v>
      </c>
      <c r="AF355" t="b">
        <v>0</v>
      </c>
      <c r="AG355">
        <v>1028000</v>
      </c>
      <c r="AH355">
        <v>749089.56</v>
      </c>
      <c r="AI355">
        <v>0.87949999999999995</v>
      </c>
      <c r="AJ355">
        <v>0.87460000000000004</v>
      </c>
      <c r="AK355">
        <v>27</v>
      </c>
      <c r="AL355" t="s">
        <v>120</v>
      </c>
      <c r="AM355">
        <v>4143000</v>
      </c>
      <c r="AN355">
        <v>4.9000000000000002E-2</v>
      </c>
      <c r="AO355">
        <v>769</v>
      </c>
      <c r="AP355">
        <v>776</v>
      </c>
      <c r="AQ355" t="s">
        <v>100</v>
      </c>
      <c r="AR355" t="s">
        <v>101</v>
      </c>
      <c r="AS355">
        <v>1</v>
      </c>
      <c r="AT355">
        <v>2.1499999999999998E-2</v>
      </c>
      <c r="AU355">
        <v>0.46700000000000003</v>
      </c>
      <c r="AV355">
        <v>651249.15</v>
      </c>
      <c r="AW355">
        <v>6538.87</v>
      </c>
      <c r="AX355" t="b">
        <v>0</v>
      </c>
      <c r="AY355" t="b">
        <v>0</v>
      </c>
      <c r="AZ355" t="s">
        <v>80</v>
      </c>
      <c r="BA355">
        <v>0</v>
      </c>
      <c r="BB355">
        <v>0</v>
      </c>
      <c r="BC355">
        <v>0</v>
      </c>
      <c r="BD355">
        <v>0</v>
      </c>
      <c r="BE355" t="s">
        <v>81</v>
      </c>
      <c r="BF355" t="b">
        <v>1</v>
      </c>
    </row>
    <row r="356" spans="1:58" x14ac:dyDescent="0.3">
      <c r="A356" t="s">
        <v>887</v>
      </c>
      <c r="B356" t="s">
        <v>67</v>
      </c>
      <c r="C356" t="s">
        <v>888</v>
      </c>
      <c r="D356" t="s">
        <v>69</v>
      </c>
      <c r="E356" t="s">
        <v>70</v>
      </c>
      <c r="F356" t="s">
        <v>71</v>
      </c>
      <c r="G356" s="1">
        <v>45535</v>
      </c>
      <c r="H356" s="1">
        <v>45596</v>
      </c>
      <c r="I356" s="1">
        <v>46975</v>
      </c>
      <c r="J356">
        <v>755600</v>
      </c>
      <c r="K356">
        <v>48</v>
      </c>
      <c r="L356">
        <v>46</v>
      </c>
      <c r="M356">
        <v>2</v>
      </c>
      <c r="N356">
        <v>9.66</v>
      </c>
      <c r="O356">
        <v>19040.830000000002</v>
      </c>
      <c r="P356" t="s">
        <v>72</v>
      </c>
      <c r="Q356">
        <v>662664.12</v>
      </c>
      <c r="R356">
        <v>19040.830000000002</v>
      </c>
      <c r="S356">
        <v>19715.23</v>
      </c>
      <c r="T356" s="1">
        <v>45583</v>
      </c>
      <c r="U356" t="s">
        <v>73</v>
      </c>
      <c r="V356">
        <v>0</v>
      </c>
      <c r="W356">
        <v>2</v>
      </c>
      <c r="X356">
        <v>2</v>
      </c>
      <c r="Y356">
        <v>0</v>
      </c>
      <c r="Z356">
        <v>0</v>
      </c>
      <c r="AA356">
        <v>0</v>
      </c>
      <c r="AB356" t="s">
        <v>125</v>
      </c>
      <c r="AC356" t="s">
        <v>353</v>
      </c>
      <c r="AD356">
        <v>2024</v>
      </c>
      <c r="AE356" t="s">
        <v>90</v>
      </c>
      <c r="AF356" t="b">
        <v>1</v>
      </c>
      <c r="AG356">
        <v>868000</v>
      </c>
      <c r="AH356">
        <v>826906.55</v>
      </c>
      <c r="AI356">
        <v>0.87050000000000005</v>
      </c>
      <c r="AJ356">
        <v>0.78220000000000001</v>
      </c>
      <c r="AK356">
        <v>60</v>
      </c>
      <c r="AL356" t="s">
        <v>132</v>
      </c>
      <c r="AM356">
        <v>1804000</v>
      </c>
      <c r="AN356">
        <v>0.12670000000000001</v>
      </c>
      <c r="AO356">
        <v>667</v>
      </c>
      <c r="AP356">
        <v>658</v>
      </c>
      <c r="AQ356" t="s">
        <v>91</v>
      </c>
      <c r="AR356" t="s">
        <v>92</v>
      </c>
      <c r="AS356">
        <v>1</v>
      </c>
      <c r="AT356">
        <v>2.4500000000000001E-2</v>
      </c>
      <c r="AU356">
        <v>0.63329999999999997</v>
      </c>
      <c r="AV356">
        <v>666743.15</v>
      </c>
      <c r="AW356">
        <v>10345.09</v>
      </c>
      <c r="AX356" t="b">
        <v>0</v>
      </c>
      <c r="AY356" t="b">
        <v>0</v>
      </c>
      <c r="AZ356" t="s">
        <v>80</v>
      </c>
      <c r="BA356">
        <v>0</v>
      </c>
      <c r="BB356">
        <v>0</v>
      </c>
      <c r="BC356">
        <v>0</v>
      </c>
      <c r="BD356">
        <v>0</v>
      </c>
      <c r="BE356" t="s">
        <v>108</v>
      </c>
      <c r="BF356" t="b">
        <v>1</v>
      </c>
    </row>
    <row r="357" spans="1:58" x14ac:dyDescent="0.3">
      <c r="A357" t="s">
        <v>889</v>
      </c>
      <c r="B357" t="s">
        <v>67</v>
      </c>
      <c r="C357" t="s">
        <v>890</v>
      </c>
      <c r="D357" t="s">
        <v>84</v>
      </c>
      <c r="E357" t="s">
        <v>85</v>
      </c>
      <c r="F357" t="s">
        <v>115</v>
      </c>
      <c r="G357" s="1">
        <v>45112</v>
      </c>
      <c r="H357" s="1">
        <v>45596</v>
      </c>
      <c r="I357" s="1">
        <v>46552</v>
      </c>
      <c r="J357">
        <v>1540800</v>
      </c>
      <c r="K357">
        <v>48</v>
      </c>
      <c r="L357">
        <v>33</v>
      </c>
      <c r="M357">
        <v>15</v>
      </c>
      <c r="N357">
        <v>11.05</v>
      </c>
      <c r="O357">
        <v>39860.199999999997</v>
      </c>
      <c r="P357" t="s">
        <v>72</v>
      </c>
      <c r="Q357">
        <v>1045259.54</v>
      </c>
      <c r="R357">
        <v>39860.199999999997</v>
      </c>
      <c r="S357">
        <v>38266.06</v>
      </c>
      <c r="T357" s="1">
        <v>45573</v>
      </c>
      <c r="U357" t="s">
        <v>73</v>
      </c>
      <c r="V357">
        <v>0</v>
      </c>
      <c r="W357">
        <v>15</v>
      </c>
      <c r="X357">
        <v>15</v>
      </c>
      <c r="Y357">
        <v>0</v>
      </c>
      <c r="Z357">
        <v>0</v>
      </c>
      <c r="AA357">
        <v>0</v>
      </c>
      <c r="AB357" t="s">
        <v>164</v>
      </c>
      <c r="AC357" t="s">
        <v>165</v>
      </c>
      <c r="AD357">
        <v>2023</v>
      </c>
      <c r="AE357" t="s">
        <v>166</v>
      </c>
      <c r="AF357" t="b">
        <v>1</v>
      </c>
      <c r="AG357">
        <v>2394000</v>
      </c>
      <c r="AH357">
        <v>2138081.4300000002</v>
      </c>
      <c r="AI357">
        <v>0.64359999999999995</v>
      </c>
      <c r="AJ357">
        <v>0.53249999999999997</v>
      </c>
      <c r="AK357">
        <v>30</v>
      </c>
      <c r="AL357" t="s">
        <v>77</v>
      </c>
      <c r="AM357">
        <v>3856000</v>
      </c>
      <c r="AN357">
        <v>0.124</v>
      </c>
      <c r="AO357">
        <v>680</v>
      </c>
      <c r="AP357">
        <v>692</v>
      </c>
      <c r="AQ357" t="s">
        <v>78</v>
      </c>
      <c r="AR357" t="s">
        <v>133</v>
      </c>
      <c r="AS357">
        <v>1</v>
      </c>
      <c r="AT357">
        <v>2.53E-2</v>
      </c>
      <c r="AU357">
        <v>0.3548</v>
      </c>
      <c r="AV357">
        <v>1065120.99</v>
      </c>
      <c r="AW357">
        <v>9560.99</v>
      </c>
      <c r="AX357" t="b">
        <v>0</v>
      </c>
      <c r="AY357" t="b">
        <v>0</v>
      </c>
      <c r="AZ357" t="s">
        <v>80</v>
      </c>
      <c r="BA357">
        <v>0</v>
      </c>
      <c r="BB357">
        <v>0</v>
      </c>
      <c r="BC357">
        <v>0</v>
      </c>
      <c r="BD357">
        <v>0</v>
      </c>
      <c r="BE357" t="s">
        <v>108</v>
      </c>
      <c r="BF357" t="b">
        <v>0</v>
      </c>
    </row>
    <row r="358" spans="1:58" x14ac:dyDescent="0.3">
      <c r="A358" t="s">
        <v>891</v>
      </c>
      <c r="B358" t="s">
        <v>67</v>
      </c>
      <c r="C358" t="s">
        <v>892</v>
      </c>
      <c r="D358" t="s">
        <v>84</v>
      </c>
      <c r="E358" t="s">
        <v>85</v>
      </c>
      <c r="F358" t="s">
        <v>86</v>
      </c>
      <c r="G358" s="1">
        <v>44330</v>
      </c>
      <c r="H358" s="1">
        <v>45596</v>
      </c>
      <c r="I358" s="1">
        <v>46490</v>
      </c>
      <c r="J358">
        <v>797900</v>
      </c>
      <c r="K358">
        <v>72</v>
      </c>
      <c r="L358">
        <v>31</v>
      </c>
      <c r="M358">
        <v>41</v>
      </c>
      <c r="N358">
        <v>7.61</v>
      </c>
      <c r="O358">
        <v>13838.32</v>
      </c>
      <c r="P358" t="s">
        <v>72</v>
      </c>
      <c r="Q358">
        <v>358874.26</v>
      </c>
      <c r="R358">
        <v>13838.32</v>
      </c>
      <c r="S358">
        <v>14482.22</v>
      </c>
      <c r="T358" s="1">
        <v>45585</v>
      </c>
      <c r="U358" t="s">
        <v>73</v>
      </c>
      <c r="V358">
        <v>0</v>
      </c>
      <c r="W358">
        <v>41</v>
      </c>
      <c r="X358">
        <v>41</v>
      </c>
      <c r="Y358">
        <v>0</v>
      </c>
      <c r="Z358">
        <v>0</v>
      </c>
      <c r="AA358">
        <v>0</v>
      </c>
      <c r="AB358" t="s">
        <v>174</v>
      </c>
      <c r="AC358" t="s">
        <v>175</v>
      </c>
      <c r="AD358">
        <v>2021</v>
      </c>
      <c r="AE358" t="s">
        <v>99</v>
      </c>
      <c r="AF358" t="b">
        <v>1</v>
      </c>
      <c r="AG358">
        <v>903000</v>
      </c>
      <c r="AH358">
        <v>446344.69</v>
      </c>
      <c r="AI358">
        <v>0.88360000000000005</v>
      </c>
      <c r="AJ358">
        <v>0.7823</v>
      </c>
      <c r="AK358">
        <v>45</v>
      </c>
      <c r="AL358" t="s">
        <v>132</v>
      </c>
      <c r="AM358">
        <v>1047000</v>
      </c>
      <c r="AN358">
        <v>0.15859999999999999</v>
      </c>
      <c r="AO358">
        <v>794</v>
      </c>
      <c r="AP358">
        <v>745</v>
      </c>
      <c r="AQ358" t="s">
        <v>100</v>
      </c>
      <c r="AR358" t="s">
        <v>149</v>
      </c>
      <c r="AS358">
        <v>1</v>
      </c>
      <c r="AT358">
        <v>1.8499999999999999E-2</v>
      </c>
      <c r="AU358">
        <v>0.47449999999999998</v>
      </c>
      <c r="AV358">
        <v>361700.08</v>
      </c>
      <c r="AW358">
        <v>3175.09</v>
      </c>
      <c r="AX358" t="b">
        <v>0</v>
      </c>
      <c r="AY358" t="b">
        <v>0</v>
      </c>
      <c r="AZ358" t="s">
        <v>80</v>
      </c>
      <c r="BA358">
        <v>0</v>
      </c>
      <c r="BB358">
        <v>0</v>
      </c>
      <c r="BC358">
        <v>0</v>
      </c>
      <c r="BD358">
        <v>0</v>
      </c>
      <c r="BE358" t="s">
        <v>108</v>
      </c>
      <c r="BF358" t="b">
        <v>0</v>
      </c>
    </row>
    <row r="359" spans="1:58" x14ac:dyDescent="0.3">
      <c r="A359" t="s">
        <v>893</v>
      </c>
      <c r="B359" t="s">
        <v>67</v>
      </c>
      <c r="C359" t="s">
        <v>894</v>
      </c>
      <c r="D359" t="s">
        <v>69</v>
      </c>
      <c r="E359" t="s">
        <v>70</v>
      </c>
      <c r="F359" t="s">
        <v>115</v>
      </c>
      <c r="G359" s="1">
        <v>44421</v>
      </c>
      <c r="H359" s="1">
        <v>45596</v>
      </c>
      <c r="I359" s="1">
        <v>46221</v>
      </c>
      <c r="J359">
        <v>1380900</v>
      </c>
      <c r="K359">
        <v>60</v>
      </c>
      <c r="L359">
        <v>22</v>
      </c>
      <c r="M359">
        <v>38</v>
      </c>
      <c r="N359">
        <v>11.85</v>
      </c>
      <c r="O359">
        <v>30612.79</v>
      </c>
      <c r="P359" t="s">
        <v>72</v>
      </c>
      <c r="Q359">
        <v>457859.9</v>
      </c>
      <c r="R359">
        <v>30612.79</v>
      </c>
      <c r="S359">
        <v>30430.39</v>
      </c>
      <c r="T359" s="1">
        <v>45596</v>
      </c>
      <c r="U359" t="s">
        <v>73</v>
      </c>
      <c r="V359">
        <v>0</v>
      </c>
      <c r="W359">
        <v>38</v>
      </c>
      <c r="X359">
        <v>38</v>
      </c>
      <c r="Y359">
        <v>0</v>
      </c>
      <c r="Z359">
        <v>0</v>
      </c>
      <c r="AA359">
        <v>0</v>
      </c>
      <c r="AB359" t="s">
        <v>208</v>
      </c>
      <c r="AC359" t="s">
        <v>209</v>
      </c>
      <c r="AD359">
        <v>2021</v>
      </c>
      <c r="AE359" t="s">
        <v>119</v>
      </c>
      <c r="AF359" t="b">
        <v>1</v>
      </c>
      <c r="AG359">
        <v>1890000</v>
      </c>
      <c r="AH359">
        <v>989384.16</v>
      </c>
      <c r="AI359">
        <v>0.73060000000000003</v>
      </c>
      <c r="AJ359">
        <v>0.44529999999999997</v>
      </c>
      <c r="AK359">
        <v>46</v>
      </c>
      <c r="AL359" t="s">
        <v>132</v>
      </c>
      <c r="AM359">
        <v>489000</v>
      </c>
      <c r="AN359">
        <v>0.75119999999999998</v>
      </c>
      <c r="AO359">
        <v>686</v>
      </c>
      <c r="AP359">
        <v>688</v>
      </c>
      <c r="AQ359" t="s">
        <v>145</v>
      </c>
      <c r="AR359" t="s">
        <v>203</v>
      </c>
      <c r="AS359">
        <v>1</v>
      </c>
      <c r="AT359">
        <v>1.9E-2</v>
      </c>
      <c r="AU359">
        <v>0.36990000000000001</v>
      </c>
      <c r="AV359">
        <v>480037.04</v>
      </c>
      <c r="AW359">
        <v>3373.75</v>
      </c>
      <c r="AX359" t="b">
        <v>0</v>
      </c>
      <c r="AY359" t="b">
        <v>0</v>
      </c>
      <c r="AZ359" t="s">
        <v>80</v>
      </c>
      <c r="BA359">
        <v>0</v>
      </c>
      <c r="BB359">
        <v>0</v>
      </c>
      <c r="BC359">
        <v>0</v>
      </c>
      <c r="BD359">
        <v>0</v>
      </c>
      <c r="BE359" t="s">
        <v>108</v>
      </c>
      <c r="BF359" t="b">
        <v>1</v>
      </c>
    </row>
    <row r="360" spans="1:58" x14ac:dyDescent="0.3">
      <c r="A360" t="s">
        <v>895</v>
      </c>
      <c r="B360" t="s">
        <v>67</v>
      </c>
      <c r="C360" t="s">
        <v>896</v>
      </c>
      <c r="D360" t="s">
        <v>95</v>
      </c>
      <c r="E360" t="s">
        <v>96</v>
      </c>
      <c r="F360" t="s">
        <v>71</v>
      </c>
      <c r="G360" s="1">
        <v>45158</v>
      </c>
      <c r="H360" s="1">
        <v>45596</v>
      </c>
      <c r="I360" s="1">
        <v>46238</v>
      </c>
      <c r="J360">
        <v>897900</v>
      </c>
      <c r="K360">
        <v>36</v>
      </c>
      <c r="L360">
        <v>22</v>
      </c>
      <c r="M360">
        <v>14</v>
      </c>
      <c r="N360">
        <v>10.84</v>
      </c>
      <c r="O360">
        <v>29328.11</v>
      </c>
      <c r="P360" t="s">
        <v>72</v>
      </c>
      <c r="Q360">
        <v>555470.18000000005</v>
      </c>
      <c r="R360">
        <v>29328.11</v>
      </c>
      <c r="S360">
        <v>29554.43</v>
      </c>
      <c r="T360" s="1">
        <v>45579</v>
      </c>
      <c r="U360" t="s">
        <v>73</v>
      </c>
      <c r="V360">
        <v>0</v>
      </c>
      <c r="W360">
        <v>14</v>
      </c>
      <c r="X360">
        <v>14</v>
      </c>
      <c r="Y360">
        <v>0</v>
      </c>
      <c r="Z360">
        <v>0</v>
      </c>
      <c r="AA360">
        <v>0</v>
      </c>
      <c r="AB360" t="s">
        <v>88</v>
      </c>
      <c r="AC360" t="s">
        <v>89</v>
      </c>
      <c r="AD360">
        <v>2023</v>
      </c>
      <c r="AE360" t="s">
        <v>90</v>
      </c>
      <c r="AF360" t="b">
        <v>1</v>
      </c>
      <c r="AG360">
        <v>1102000</v>
      </c>
      <c r="AH360">
        <v>964521.42</v>
      </c>
      <c r="AI360">
        <v>0.81479999999999997</v>
      </c>
      <c r="AJ360">
        <v>0.60580000000000001</v>
      </c>
      <c r="AK360">
        <v>59</v>
      </c>
      <c r="AL360" t="s">
        <v>77</v>
      </c>
      <c r="AM360">
        <v>891000</v>
      </c>
      <c r="AN360">
        <v>0.39500000000000002</v>
      </c>
      <c r="AO360">
        <v>781</v>
      </c>
      <c r="AP360">
        <v>747</v>
      </c>
      <c r="AQ360" t="s">
        <v>100</v>
      </c>
      <c r="AR360" t="s">
        <v>229</v>
      </c>
      <c r="AS360">
        <v>1</v>
      </c>
      <c r="AT360">
        <v>2.2800000000000001E-2</v>
      </c>
      <c r="AU360">
        <v>0.44030000000000002</v>
      </c>
      <c r="AV360">
        <v>575202.16</v>
      </c>
      <c r="AW360">
        <v>5774.36</v>
      </c>
      <c r="AX360" t="b">
        <v>0</v>
      </c>
      <c r="AY360" t="b">
        <v>0</v>
      </c>
      <c r="AZ360" t="s">
        <v>80</v>
      </c>
      <c r="BA360">
        <v>0</v>
      </c>
      <c r="BB360">
        <v>0</v>
      </c>
      <c r="BC360">
        <v>0</v>
      </c>
      <c r="BD360">
        <v>0</v>
      </c>
      <c r="BE360" t="s">
        <v>108</v>
      </c>
      <c r="BF360" t="b">
        <v>1</v>
      </c>
    </row>
    <row r="361" spans="1:58" x14ac:dyDescent="0.3">
      <c r="A361" t="s">
        <v>897</v>
      </c>
      <c r="B361" t="s">
        <v>67</v>
      </c>
      <c r="C361" t="s">
        <v>898</v>
      </c>
      <c r="D361" t="s">
        <v>84</v>
      </c>
      <c r="E361" t="s">
        <v>85</v>
      </c>
      <c r="F361" t="s">
        <v>124</v>
      </c>
      <c r="G361" s="1">
        <v>44466</v>
      </c>
      <c r="H361" s="1">
        <v>45596</v>
      </c>
      <c r="I361" s="1">
        <v>45546</v>
      </c>
      <c r="J361">
        <v>1308200</v>
      </c>
      <c r="K361">
        <v>36</v>
      </c>
      <c r="L361">
        <v>0</v>
      </c>
      <c r="M361">
        <v>37</v>
      </c>
      <c r="N361">
        <v>12.74</v>
      </c>
      <c r="O361">
        <v>43914.78</v>
      </c>
      <c r="P361" t="s">
        <v>72</v>
      </c>
      <c r="Q361">
        <v>0</v>
      </c>
      <c r="R361">
        <v>43914.78</v>
      </c>
      <c r="S361">
        <v>44597.48</v>
      </c>
      <c r="T361" s="1">
        <v>45564</v>
      </c>
      <c r="U361" t="s">
        <v>73</v>
      </c>
      <c r="V361">
        <v>0</v>
      </c>
      <c r="W361">
        <v>37</v>
      </c>
      <c r="X361">
        <v>37</v>
      </c>
      <c r="Y361">
        <v>0</v>
      </c>
      <c r="Z361">
        <v>0</v>
      </c>
      <c r="AA361">
        <v>0</v>
      </c>
      <c r="AB361" t="s">
        <v>111</v>
      </c>
      <c r="AC361" t="s">
        <v>197</v>
      </c>
      <c r="AD361">
        <v>2021</v>
      </c>
      <c r="AE361" t="s">
        <v>76</v>
      </c>
      <c r="AF361" t="b">
        <v>1</v>
      </c>
      <c r="AG361">
        <v>1411000</v>
      </c>
      <c r="AH361">
        <v>851025.01</v>
      </c>
      <c r="AI361">
        <v>0.92710000000000004</v>
      </c>
      <c r="AJ361">
        <v>0</v>
      </c>
      <c r="AK361">
        <v>28</v>
      </c>
      <c r="AL361" t="s">
        <v>77</v>
      </c>
      <c r="AM361">
        <v>4904000</v>
      </c>
      <c r="AN361">
        <v>0.1075</v>
      </c>
      <c r="AO361">
        <v>653</v>
      </c>
      <c r="AP361">
        <v>621</v>
      </c>
      <c r="AQ361" t="s">
        <v>145</v>
      </c>
      <c r="AR361" t="s">
        <v>176</v>
      </c>
      <c r="AS361">
        <v>1</v>
      </c>
      <c r="AT361">
        <v>1.9400000000000001E-2</v>
      </c>
      <c r="AU361">
        <v>0.41449999999999998</v>
      </c>
      <c r="AV361">
        <v>0</v>
      </c>
      <c r="AW361">
        <v>0</v>
      </c>
      <c r="AX361" t="b">
        <v>0</v>
      </c>
      <c r="AY361" t="b">
        <v>0</v>
      </c>
      <c r="AZ361" t="s">
        <v>80</v>
      </c>
      <c r="BA361">
        <v>0</v>
      </c>
      <c r="BB361">
        <v>0</v>
      </c>
      <c r="BC361">
        <v>0</v>
      </c>
      <c r="BD361">
        <v>0</v>
      </c>
      <c r="BE361" t="s">
        <v>134</v>
      </c>
      <c r="BF361" t="b">
        <v>1</v>
      </c>
    </row>
    <row r="362" spans="1:58" x14ac:dyDescent="0.3">
      <c r="A362" t="s">
        <v>899</v>
      </c>
      <c r="B362" t="s">
        <v>67</v>
      </c>
      <c r="C362" t="s">
        <v>900</v>
      </c>
      <c r="D362" t="s">
        <v>95</v>
      </c>
      <c r="E362" t="s">
        <v>96</v>
      </c>
      <c r="F362" t="s">
        <v>124</v>
      </c>
      <c r="G362" s="1">
        <v>44887</v>
      </c>
      <c r="H362" s="1">
        <v>45596</v>
      </c>
      <c r="I362" s="1">
        <v>45967</v>
      </c>
      <c r="J362">
        <v>2191000</v>
      </c>
      <c r="K362">
        <v>36</v>
      </c>
      <c r="L362">
        <v>13</v>
      </c>
      <c r="M362">
        <v>23</v>
      </c>
      <c r="N362">
        <v>12.18</v>
      </c>
      <c r="O362">
        <v>72961.06</v>
      </c>
      <c r="P362" t="s">
        <v>72</v>
      </c>
      <c r="Q362">
        <v>752707.78</v>
      </c>
      <c r="R362">
        <v>72961.06</v>
      </c>
      <c r="S362">
        <v>75296.009999999995</v>
      </c>
      <c r="T362" s="1">
        <v>45564</v>
      </c>
      <c r="U362" t="s">
        <v>73</v>
      </c>
      <c r="V362">
        <v>0</v>
      </c>
      <c r="W362">
        <v>23</v>
      </c>
      <c r="X362">
        <v>23</v>
      </c>
      <c r="Y362">
        <v>0</v>
      </c>
      <c r="Z362">
        <v>0</v>
      </c>
      <c r="AA362">
        <v>0</v>
      </c>
      <c r="AB362" t="s">
        <v>208</v>
      </c>
      <c r="AC362" t="s">
        <v>651</v>
      </c>
      <c r="AD362">
        <v>2022</v>
      </c>
      <c r="AE362" t="s">
        <v>166</v>
      </c>
      <c r="AF362" t="b">
        <v>1</v>
      </c>
      <c r="AG362">
        <v>2884000</v>
      </c>
      <c r="AH362">
        <v>1960596.07</v>
      </c>
      <c r="AI362">
        <v>0.75970000000000004</v>
      </c>
      <c r="AJ362">
        <v>0.36049999999999999</v>
      </c>
      <c r="AK362">
        <v>39</v>
      </c>
      <c r="AL362" t="s">
        <v>132</v>
      </c>
      <c r="AM362">
        <v>1509000</v>
      </c>
      <c r="AN362">
        <v>0.58020000000000005</v>
      </c>
      <c r="AO362">
        <v>656</v>
      </c>
      <c r="AP362">
        <v>675</v>
      </c>
      <c r="AQ362" t="s">
        <v>100</v>
      </c>
      <c r="AR362" t="s">
        <v>121</v>
      </c>
      <c r="AS362">
        <v>1</v>
      </c>
      <c r="AT362">
        <v>1.9199999999999998E-2</v>
      </c>
      <c r="AU362">
        <v>0.64529999999999998</v>
      </c>
      <c r="AV362">
        <v>755830.28</v>
      </c>
      <c r="AW362">
        <v>9364.56</v>
      </c>
      <c r="AX362" t="b">
        <v>0</v>
      </c>
      <c r="AY362" t="b">
        <v>0</v>
      </c>
      <c r="AZ362" t="s">
        <v>80</v>
      </c>
      <c r="BA362">
        <v>0</v>
      </c>
      <c r="BB362">
        <v>0</v>
      </c>
      <c r="BC362">
        <v>0</v>
      </c>
      <c r="BD362">
        <v>0</v>
      </c>
      <c r="BE362" t="s">
        <v>134</v>
      </c>
      <c r="BF362" t="b">
        <v>1</v>
      </c>
    </row>
    <row r="363" spans="1:58" x14ac:dyDescent="0.3">
      <c r="A363" t="s">
        <v>901</v>
      </c>
      <c r="B363" t="s">
        <v>67</v>
      </c>
      <c r="C363" t="s">
        <v>902</v>
      </c>
      <c r="D363" t="s">
        <v>84</v>
      </c>
      <c r="E363" t="s">
        <v>85</v>
      </c>
      <c r="F363" t="s">
        <v>124</v>
      </c>
      <c r="G363" s="1">
        <v>44651</v>
      </c>
      <c r="H363" s="1">
        <v>45596</v>
      </c>
      <c r="I363" s="1">
        <v>47171</v>
      </c>
      <c r="J363">
        <v>1937100</v>
      </c>
      <c r="K363">
        <v>84</v>
      </c>
      <c r="L363">
        <v>53</v>
      </c>
      <c r="M363">
        <v>31</v>
      </c>
      <c r="N363">
        <v>13.52</v>
      </c>
      <c r="O363">
        <v>35789.58</v>
      </c>
      <c r="P363" t="s">
        <v>72</v>
      </c>
      <c r="Q363">
        <v>1196254.02</v>
      </c>
      <c r="R363">
        <v>35789.58</v>
      </c>
      <c r="S363">
        <v>37478.879999999997</v>
      </c>
      <c r="T363" s="1">
        <v>45566</v>
      </c>
      <c r="U363" t="s">
        <v>73</v>
      </c>
      <c r="V363">
        <v>0</v>
      </c>
      <c r="W363">
        <v>31</v>
      </c>
      <c r="X363">
        <v>31</v>
      </c>
      <c r="Y363">
        <v>0</v>
      </c>
      <c r="Z363">
        <v>0</v>
      </c>
      <c r="AA363">
        <v>0</v>
      </c>
      <c r="AB363" t="s">
        <v>117</v>
      </c>
      <c r="AC363" t="s">
        <v>118</v>
      </c>
      <c r="AD363">
        <v>2022</v>
      </c>
      <c r="AE363" t="s">
        <v>119</v>
      </c>
      <c r="AF363" t="b">
        <v>1</v>
      </c>
      <c r="AG363">
        <v>2219000</v>
      </c>
      <c r="AH363">
        <v>1384614.55</v>
      </c>
      <c r="AI363">
        <v>0.873</v>
      </c>
      <c r="AJ363">
        <v>0.85840000000000005</v>
      </c>
      <c r="AK363">
        <v>58</v>
      </c>
      <c r="AL363" t="s">
        <v>106</v>
      </c>
      <c r="AM363">
        <v>3652000</v>
      </c>
      <c r="AN363">
        <v>0.1176</v>
      </c>
      <c r="AO363">
        <v>785</v>
      </c>
      <c r="AP363">
        <v>756</v>
      </c>
      <c r="AQ363" t="s">
        <v>91</v>
      </c>
      <c r="AR363" t="s">
        <v>92</v>
      </c>
      <c r="AS363">
        <v>1</v>
      </c>
      <c r="AT363">
        <v>2.4299999999999999E-2</v>
      </c>
      <c r="AU363">
        <v>0.4335</v>
      </c>
      <c r="AV363">
        <v>1253617.8</v>
      </c>
      <c r="AW363">
        <v>13205.67</v>
      </c>
      <c r="AX363" t="b">
        <v>0</v>
      </c>
      <c r="AY363" t="b">
        <v>0</v>
      </c>
      <c r="AZ363" t="s">
        <v>80</v>
      </c>
      <c r="BA363">
        <v>0</v>
      </c>
      <c r="BB363">
        <v>0</v>
      </c>
      <c r="BC363">
        <v>0</v>
      </c>
      <c r="BD363">
        <v>0</v>
      </c>
      <c r="BE363" t="s">
        <v>108</v>
      </c>
      <c r="BF363" t="b">
        <v>1</v>
      </c>
    </row>
    <row r="364" spans="1:58" x14ac:dyDescent="0.3">
      <c r="A364" t="s">
        <v>903</v>
      </c>
      <c r="B364" t="s">
        <v>67</v>
      </c>
      <c r="C364" t="s">
        <v>904</v>
      </c>
      <c r="D364" t="s">
        <v>84</v>
      </c>
      <c r="E364" t="s">
        <v>85</v>
      </c>
      <c r="F364" t="s">
        <v>71</v>
      </c>
      <c r="G364" s="1">
        <v>44475</v>
      </c>
      <c r="H364" s="1">
        <v>45596</v>
      </c>
      <c r="I364" s="1">
        <v>45555</v>
      </c>
      <c r="J364">
        <v>793400</v>
      </c>
      <c r="K364">
        <v>36</v>
      </c>
      <c r="L364">
        <v>0</v>
      </c>
      <c r="M364">
        <v>36</v>
      </c>
      <c r="N364">
        <v>12.79</v>
      </c>
      <c r="O364">
        <v>26652.6</v>
      </c>
      <c r="P364" t="s">
        <v>116</v>
      </c>
      <c r="Q364">
        <v>0</v>
      </c>
      <c r="R364">
        <v>26652.6</v>
      </c>
      <c r="S364">
        <v>26149.29</v>
      </c>
      <c r="T364" s="1">
        <v>45590</v>
      </c>
      <c r="U364" t="s">
        <v>73</v>
      </c>
      <c r="V364">
        <v>0</v>
      </c>
      <c r="W364">
        <v>36</v>
      </c>
      <c r="X364">
        <v>36</v>
      </c>
      <c r="Y364">
        <v>0</v>
      </c>
      <c r="Z364">
        <v>0</v>
      </c>
      <c r="AA364">
        <v>0</v>
      </c>
      <c r="AB364" t="s">
        <v>88</v>
      </c>
      <c r="AC364" t="s">
        <v>89</v>
      </c>
      <c r="AD364">
        <v>2016</v>
      </c>
      <c r="AE364" t="s">
        <v>119</v>
      </c>
      <c r="AF364" t="b">
        <v>0</v>
      </c>
      <c r="AG364">
        <v>982000</v>
      </c>
      <c r="AH364">
        <v>588080.87</v>
      </c>
      <c r="AI364">
        <v>0.80789999999999995</v>
      </c>
      <c r="AJ364">
        <v>0</v>
      </c>
      <c r="AK364">
        <v>35</v>
      </c>
      <c r="AL364" t="s">
        <v>77</v>
      </c>
      <c r="AM364">
        <v>2139000</v>
      </c>
      <c r="AN364">
        <v>0.14949999999999999</v>
      </c>
      <c r="AO364">
        <v>690</v>
      </c>
      <c r="AP364">
        <v>693</v>
      </c>
      <c r="AQ364" t="s">
        <v>127</v>
      </c>
      <c r="AR364" t="s">
        <v>153</v>
      </c>
      <c r="AS364">
        <v>1</v>
      </c>
      <c r="AT364">
        <v>1.6500000000000001E-2</v>
      </c>
      <c r="AU364">
        <v>0.39269999999999999</v>
      </c>
      <c r="AV364">
        <v>0</v>
      </c>
      <c r="AW364">
        <v>0</v>
      </c>
      <c r="AX364" t="b">
        <v>0</v>
      </c>
      <c r="AY364" t="b">
        <v>0</v>
      </c>
      <c r="AZ364" t="s">
        <v>80</v>
      </c>
      <c r="BA364">
        <v>0</v>
      </c>
      <c r="BB364">
        <v>0</v>
      </c>
      <c r="BC364">
        <v>0</v>
      </c>
      <c r="BD364">
        <v>0</v>
      </c>
      <c r="BE364" t="s">
        <v>108</v>
      </c>
      <c r="BF364" t="b">
        <v>1</v>
      </c>
    </row>
    <row r="365" spans="1:58" x14ac:dyDescent="0.3">
      <c r="A365" t="s">
        <v>905</v>
      </c>
      <c r="B365" t="s">
        <v>67</v>
      </c>
      <c r="C365" t="s">
        <v>906</v>
      </c>
      <c r="D365" t="s">
        <v>84</v>
      </c>
      <c r="E365" t="s">
        <v>85</v>
      </c>
      <c r="F365" t="s">
        <v>115</v>
      </c>
      <c r="G365" s="1">
        <v>45422</v>
      </c>
      <c r="H365" s="1">
        <v>45596</v>
      </c>
      <c r="I365" s="1">
        <v>47942</v>
      </c>
      <c r="J365">
        <v>2384100</v>
      </c>
      <c r="K365">
        <v>84</v>
      </c>
      <c r="L365">
        <v>79</v>
      </c>
      <c r="M365">
        <v>5</v>
      </c>
      <c r="N365">
        <v>10.68</v>
      </c>
      <c r="O365">
        <v>40421.57</v>
      </c>
      <c r="P365" t="s">
        <v>72</v>
      </c>
      <c r="Q365">
        <v>2041648.8</v>
      </c>
      <c r="R365">
        <v>40421.57</v>
      </c>
      <c r="S365">
        <v>40399.47</v>
      </c>
      <c r="T365" s="1">
        <v>45569</v>
      </c>
      <c r="U365" t="s">
        <v>73</v>
      </c>
      <c r="V365">
        <v>0</v>
      </c>
      <c r="W365">
        <v>5</v>
      </c>
      <c r="X365">
        <v>5</v>
      </c>
      <c r="Y365">
        <v>0</v>
      </c>
      <c r="Z365">
        <v>0</v>
      </c>
      <c r="AA365">
        <v>0</v>
      </c>
      <c r="AB365" t="s">
        <v>164</v>
      </c>
      <c r="AC365" t="s">
        <v>279</v>
      </c>
      <c r="AD365">
        <v>2024</v>
      </c>
      <c r="AE365" t="s">
        <v>119</v>
      </c>
      <c r="AF365" t="b">
        <v>1</v>
      </c>
      <c r="AG365">
        <v>3020000</v>
      </c>
      <c r="AH365">
        <v>2794329.7</v>
      </c>
      <c r="AI365">
        <v>0.78939999999999999</v>
      </c>
      <c r="AJ365">
        <v>0.71919999999999995</v>
      </c>
      <c r="AK365">
        <v>43</v>
      </c>
      <c r="AL365" t="s">
        <v>106</v>
      </c>
      <c r="AM365">
        <v>780000</v>
      </c>
      <c r="AN365">
        <v>0.62190000000000001</v>
      </c>
      <c r="AO365">
        <v>715</v>
      </c>
      <c r="AP365">
        <v>679</v>
      </c>
      <c r="AQ365" t="s">
        <v>127</v>
      </c>
      <c r="AR365" t="s">
        <v>215</v>
      </c>
      <c r="AS365">
        <v>1</v>
      </c>
      <c r="AT365">
        <v>1.5100000000000001E-2</v>
      </c>
      <c r="AU365">
        <v>0.56950000000000001</v>
      </c>
      <c r="AV365">
        <v>2139620.83</v>
      </c>
      <c r="AW365">
        <v>18399.560000000001</v>
      </c>
      <c r="AX365" t="b">
        <v>0</v>
      </c>
      <c r="AY365" t="b">
        <v>0</v>
      </c>
      <c r="AZ365" t="s">
        <v>80</v>
      </c>
      <c r="BA365">
        <v>0</v>
      </c>
      <c r="BB365">
        <v>0</v>
      </c>
      <c r="BC365">
        <v>0</v>
      </c>
      <c r="BD365">
        <v>0</v>
      </c>
      <c r="BE365" t="s">
        <v>108</v>
      </c>
      <c r="BF365" t="b">
        <v>1</v>
      </c>
    </row>
    <row r="366" spans="1:58" x14ac:dyDescent="0.3">
      <c r="A366" t="s">
        <v>907</v>
      </c>
      <c r="B366" t="s">
        <v>67</v>
      </c>
      <c r="C366" t="s">
        <v>908</v>
      </c>
      <c r="D366" t="s">
        <v>84</v>
      </c>
      <c r="E366" t="s">
        <v>85</v>
      </c>
      <c r="F366" t="s">
        <v>124</v>
      </c>
      <c r="G366" s="1">
        <v>45503</v>
      </c>
      <c r="H366" s="1">
        <v>45596</v>
      </c>
      <c r="I366" s="1">
        <v>47303</v>
      </c>
      <c r="J366">
        <v>2672500</v>
      </c>
      <c r="K366">
        <v>60</v>
      </c>
      <c r="L366">
        <v>57</v>
      </c>
      <c r="M366">
        <v>3</v>
      </c>
      <c r="N366">
        <v>10.44</v>
      </c>
      <c r="O366">
        <v>57363.05</v>
      </c>
      <c r="P366" t="s">
        <v>72</v>
      </c>
      <c r="Q366">
        <v>2603475.25</v>
      </c>
      <c r="R366">
        <v>57363.05</v>
      </c>
      <c r="S366">
        <v>58181.49</v>
      </c>
      <c r="T366" s="1">
        <v>45590</v>
      </c>
      <c r="U366" t="s">
        <v>73</v>
      </c>
      <c r="V366">
        <v>0</v>
      </c>
      <c r="W366">
        <v>3</v>
      </c>
      <c r="X366">
        <v>3</v>
      </c>
      <c r="Y366">
        <v>0</v>
      </c>
      <c r="Z366">
        <v>0</v>
      </c>
      <c r="AA366">
        <v>0</v>
      </c>
      <c r="AB366" t="s">
        <v>74</v>
      </c>
      <c r="AC366" t="s">
        <v>260</v>
      </c>
      <c r="AD366">
        <v>2024</v>
      </c>
      <c r="AE366" t="s">
        <v>119</v>
      </c>
      <c r="AF366" t="b">
        <v>1</v>
      </c>
      <c r="AG366">
        <v>3243000</v>
      </c>
      <c r="AH366">
        <v>3173536.89</v>
      </c>
      <c r="AI366">
        <v>0.82410000000000005</v>
      </c>
      <c r="AJ366">
        <v>0.83279999999999998</v>
      </c>
      <c r="AK366">
        <v>27</v>
      </c>
      <c r="AL366" t="s">
        <v>132</v>
      </c>
      <c r="AM366">
        <v>2496000</v>
      </c>
      <c r="AN366">
        <v>0.27579999999999999</v>
      </c>
      <c r="AO366">
        <v>712</v>
      </c>
      <c r="AP366">
        <v>736</v>
      </c>
      <c r="AQ366" t="s">
        <v>127</v>
      </c>
      <c r="AR366" t="s">
        <v>153</v>
      </c>
      <c r="AS366">
        <v>1</v>
      </c>
      <c r="AT366">
        <v>2.1299999999999999E-2</v>
      </c>
      <c r="AU366">
        <v>0.61109999999999998</v>
      </c>
      <c r="AV366">
        <v>2690373.66</v>
      </c>
      <c r="AW366">
        <v>35019.06</v>
      </c>
      <c r="AX366" t="b">
        <v>0</v>
      </c>
      <c r="AY366" t="b">
        <v>0</v>
      </c>
      <c r="AZ366" t="s">
        <v>80</v>
      </c>
      <c r="BA366">
        <v>0</v>
      </c>
      <c r="BB366">
        <v>0</v>
      </c>
      <c r="BC366">
        <v>0</v>
      </c>
      <c r="BD366">
        <v>18550.810000000001</v>
      </c>
      <c r="BE366" t="s">
        <v>108</v>
      </c>
      <c r="BF366" t="b">
        <v>0</v>
      </c>
    </row>
    <row r="367" spans="1:58" x14ac:dyDescent="0.3">
      <c r="A367" t="s">
        <v>909</v>
      </c>
      <c r="B367" t="s">
        <v>67</v>
      </c>
      <c r="C367" t="s">
        <v>910</v>
      </c>
      <c r="D367" t="s">
        <v>95</v>
      </c>
      <c r="E367" t="s">
        <v>96</v>
      </c>
      <c r="F367" t="s">
        <v>86</v>
      </c>
      <c r="G367" s="1">
        <v>44437</v>
      </c>
      <c r="H367" s="1">
        <v>45596</v>
      </c>
      <c r="I367" s="1">
        <v>45517</v>
      </c>
      <c r="J367">
        <v>858800</v>
      </c>
      <c r="K367">
        <v>36</v>
      </c>
      <c r="L367">
        <v>0</v>
      </c>
      <c r="M367">
        <v>38</v>
      </c>
      <c r="N367">
        <v>9.93</v>
      </c>
      <c r="O367">
        <v>27682.84</v>
      </c>
      <c r="P367" t="s">
        <v>72</v>
      </c>
      <c r="Q367">
        <v>0</v>
      </c>
      <c r="R367">
        <v>27682.84</v>
      </c>
      <c r="S367">
        <v>27197.040000000001</v>
      </c>
      <c r="T367" s="1">
        <v>45580</v>
      </c>
      <c r="U367" t="s">
        <v>73</v>
      </c>
      <c r="V367">
        <v>0</v>
      </c>
      <c r="W367">
        <v>38</v>
      </c>
      <c r="X367">
        <v>38</v>
      </c>
      <c r="Y367">
        <v>0</v>
      </c>
      <c r="Z367">
        <v>0</v>
      </c>
      <c r="AA367">
        <v>0</v>
      </c>
      <c r="AB367" t="s">
        <v>125</v>
      </c>
      <c r="AC367" t="s">
        <v>238</v>
      </c>
      <c r="AD367">
        <v>2021</v>
      </c>
      <c r="AE367" t="s">
        <v>90</v>
      </c>
      <c r="AF367" t="b">
        <v>1</v>
      </c>
      <c r="AG367">
        <v>1164000</v>
      </c>
      <c r="AH367">
        <v>667233.77</v>
      </c>
      <c r="AI367">
        <v>0.73780000000000001</v>
      </c>
      <c r="AJ367">
        <v>0</v>
      </c>
      <c r="AK367">
        <v>54</v>
      </c>
      <c r="AL367" t="s">
        <v>132</v>
      </c>
      <c r="AM367">
        <v>2514000</v>
      </c>
      <c r="AN367">
        <v>0.1321</v>
      </c>
      <c r="AO367">
        <v>810</v>
      </c>
      <c r="AP367">
        <v>815</v>
      </c>
      <c r="AQ367" t="s">
        <v>145</v>
      </c>
      <c r="AR367" t="s">
        <v>176</v>
      </c>
      <c r="AS367">
        <v>1</v>
      </c>
      <c r="AT367">
        <v>2.3800000000000002E-2</v>
      </c>
      <c r="AU367">
        <v>0.45319999999999999</v>
      </c>
      <c r="AV367">
        <v>0</v>
      </c>
      <c r="AW367">
        <v>0</v>
      </c>
      <c r="AX367" t="b">
        <v>0</v>
      </c>
      <c r="AY367" t="b">
        <v>1</v>
      </c>
      <c r="AZ367" t="s">
        <v>225</v>
      </c>
      <c r="BA367">
        <v>0</v>
      </c>
      <c r="BB367">
        <v>0</v>
      </c>
      <c r="BC367">
        <v>0</v>
      </c>
      <c r="BD367">
        <v>0</v>
      </c>
      <c r="BE367" t="s">
        <v>81</v>
      </c>
      <c r="BF367" t="b">
        <v>1</v>
      </c>
    </row>
    <row r="368" spans="1:58" x14ac:dyDescent="0.3">
      <c r="A368" t="s">
        <v>911</v>
      </c>
      <c r="B368" t="s">
        <v>67</v>
      </c>
      <c r="C368" t="s">
        <v>912</v>
      </c>
      <c r="D368" t="s">
        <v>95</v>
      </c>
      <c r="E368" t="s">
        <v>96</v>
      </c>
      <c r="F368" t="s">
        <v>86</v>
      </c>
      <c r="G368" s="1">
        <v>44525</v>
      </c>
      <c r="H368" s="1">
        <v>45596</v>
      </c>
      <c r="I368" s="1">
        <v>46325</v>
      </c>
      <c r="J368">
        <v>1214100</v>
      </c>
      <c r="K368">
        <v>60</v>
      </c>
      <c r="L368">
        <v>25</v>
      </c>
      <c r="M368">
        <v>35</v>
      </c>
      <c r="N368">
        <v>12.97</v>
      </c>
      <c r="O368">
        <v>27605.86</v>
      </c>
      <c r="P368" t="s">
        <v>72</v>
      </c>
      <c r="Q368">
        <v>468343.48</v>
      </c>
      <c r="R368">
        <v>27605.86</v>
      </c>
      <c r="S368">
        <v>2462.0100000000002</v>
      </c>
      <c r="T368" s="1">
        <v>45577</v>
      </c>
      <c r="U368" t="s">
        <v>131</v>
      </c>
      <c r="V368">
        <v>72</v>
      </c>
      <c r="W368">
        <v>35</v>
      </c>
      <c r="X368">
        <v>32</v>
      </c>
      <c r="Y368">
        <v>3</v>
      </c>
      <c r="Z368">
        <v>0</v>
      </c>
      <c r="AA368">
        <v>1</v>
      </c>
      <c r="AB368" t="s">
        <v>125</v>
      </c>
      <c r="AC368" t="s">
        <v>353</v>
      </c>
      <c r="AD368">
        <v>2021</v>
      </c>
      <c r="AE368" t="s">
        <v>90</v>
      </c>
      <c r="AF368" t="b">
        <v>1</v>
      </c>
      <c r="AG368">
        <v>1413000</v>
      </c>
      <c r="AH368">
        <v>886550.56</v>
      </c>
      <c r="AI368">
        <v>0.85919999999999996</v>
      </c>
      <c r="AJ368">
        <v>0.57150000000000001</v>
      </c>
      <c r="AK368">
        <v>29</v>
      </c>
      <c r="AL368" t="s">
        <v>106</v>
      </c>
      <c r="AM368">
        <v>2968000</v>
      </c>
      <c r="AN368">
        <v>0.1116</v>
      </c>
      <c r="AO368">
        <v>708</v>
      </c>
      <c r="AP368">
        <v>698</v>
      </c>
      <c r="AQ368" t="s">
        <v>91</v>
      </c>
      <c r="AR368" t="s">
        <v>92</v>
      </c>
      <c r="AS368">
        <v>2</v>
      </c>
      <c r="AT368">
        <v>0.10829999999999999</v>
      </c>
      <c r="AU368">
        <v>0.48130000000000001</v>
      </c>
      <c r="AV368">
        <v>476807.93</v>
      </c>
      <c r="AW368">
        <v>24853.51</v>
      </c>
      <c r="AX368" t="b">
        <v>0</v>
      </c>
      <c r="AY368" t="b">
        <v>0</v>
      </c>
      <c r="AZ368" t="s">
        <v>80</v>
      </c>
      <c r="BA368">
        <v>0</v>
      </c>
      <c r="BB368">
        <v>0</v>
      </c>
      <c r="BC368">
        <v>0</v>
      </c>
      <c r="BD368">
        <v>0</v>
      </c>
      <c r="BE368" t="s">
        <v>81</v>
      </c>
      <c r="BF368" t="b">
        <v>1</v>
      </c>
    </row>
    <row r="369" spans="1:58" x14ac:dyDescent="0.3">
      <c r="A369" t="s">
        <v>913</v>
      </c>
      <c r="B369" t="s">
        <v>67</v>
      </c>
      <c r="C369" t="s">
        <v>914</v>
      </c>
      <c r="D369" t="s">
        <v>69</v>
      </c>
      <c r="E369" t="s">
        <v>70</v>
      </c>
      <c r="F369" t="s">
        <v>86</v>
      </c>
      <c r="G369" s="1">
        <v>45512</v>
      </c>
      <c r="H369" s="1">
        <v>45596</v>
      </c>
      <c r="I369" s="1">
        <v>46592</v>
      </c>
      <c r="J369">
        <v>731600</v>
      </c>
      <c r="K369">
        <v>36</v>
      </c>
      <c r="L369">
        <v>34</v>
      </c>
      <c r="M369">
        <v>2</v>
      </c>
      <c r="N369">
        <v>8.89</v>
      </c>
      <c r="O369">
        <v>23227.25</v>
      </c>
      <c r="P369" t="s">
        <v>72</v>
      </c>
      <c r="Q369">
        <v>631244.1</v>
      </c>
      <c r="R369">
        <v>23227.25</v>
      </c>
      <c r="S369">
        <v>22127.11</v>
      </c>
      <c r="T369" s="1">
        <v>45582</v>
      </c>
      <c r="U369" t="s">
        <v>73</v>
      </c>
      <c r="V369">
        <v>0</v>
      </c>
      <c r="W369">
        <v>2</v>
      </c>
      <c r="X369">
        <v>2</v>
      </c>
      <c r="Y369">
        <v>0</v>
      </c>
      <c r="Z369">
        <v>0</v>
      </c>
      <c r="AA369">
        <v>0</v>
      </c>
      <c r="AB369" t="s">
        <v>97</v>
      </c>
      <c r="AC369" t="s">
        <v>152</v>
      </c>
      <c r="AD369">
        <v>2024</v>
      </c>
      <c r="AE369" t="s">
        <v>90</v>
      </c>
      <c r="AF369" t="b">
        <v>1</v>
      </c>
      <c r="AG369">
        <v>896000</v>
      </c>
      <c r="AH369">
        <v>932780.8</v>
      </c>
      <c r="AI369">
        <v>0.8165</v>
      </c>
      <c r="AJ369">
        <v>0.7218</v>
      </c>
      <c r="AK369">
        <v>47</v>
      </c>
      <c r="AL369" t="s">
        <v>106</v>
      </c>
      <c r="AM369">
        <v>2097000</v>
      </c>
      <c r="AN369">
        <v>0.13289999999999999</v>
      </c>
      <c r="AO369">
        <v>740</v>
      </c>
      <c r="AP369">
        <v>740</v>
      </c>
      <c r="AQ369" t="s">
        <v>100</v>
      </c>
      <c r="AR369" t="s">
        <v>107</v>
      </c>
      <c r="AS369">
        <v>1</v>
      </c>
      <c r="AT369">
        <v>2.5999999999999999E-2</v>
      </c>
      <c r="AU369">
        <v>0.48280000000000001</v>
      </c>
      <c r="AV369">
        <v>632530.98</v>
      </c>
      <c r="AW369">
        <v>7940.03</v>
      </c>
      <c r="AX369" t="b">
        <v>0</v>
      </c>
      <c r="AY369" t="b">
        <v>0</v>
      </c>
      <c r="AZ369" t="s">
        <v>80</v>
      </c>
      <c r="BA369">
        <v>0</v>
      </c>
      <c r="BB369">
        <v>0</v>
      </c>
      <c r="BC369">
        <v>0</v>
      </c>
      <c r="BD369">
        <v>0</v>
      </c>
      <c r="BE369" t="s">
        <v>134</v>
      </c>
      <c r="BF369" t="b">
        <v>1</v>
      </c>
    </row>
    <row r="370" spans="1:58" x14ac:dyDescent="0.3">
      <c r="A370" t="s">
        <v>915</v>
      </c>
      <c r="B370" t="s">
        <v>67</v>
      </c>
      <c r="C370" t="s">
        <v>916</v>
      </c>
      <c r="D370" t="s">
        <v>69</v>
      </c>
      <c r="E370" t="s">
        <v>70</v>
      </c>
      <c r="F370" t="s">
        <v>86</v>
      </c>
      <c r="G370" s="1">
        <v>44645</v>
      </c>
      <c r="H370" s="1">
        <v>45596</v>
      </c>
      <c r="I370" s="1">
        <v>45725</v>
      </c>
      <c r="J370">
        <v>565900</v>
      </c>
      <c r="K370">
        <v>36</v>
      </c>
      <c r="L370">
        <v>5</v>
      </c>
      <c r="M370">
        <v>31</v>
      </c>
      <c r="N370">
        <v>13.5</v>
      </c>
      <c r="O370">
        <v>19203.98</v>
      </c>
      <c r="P370" t="s">
        <v>72</v>
      </c>
      <c r="Q370">
        <v>76435.09</v>
      </c>
      <c r="R370">
        <v>19203.98</v>
      </c>
      <c r="S370">
        <v>19592.740000000002</v>
      </c>
      <c r="T370" s="1">
        <v>45562</v>
      </c>
      <c r="U370" t="s">
        <v>73</v>
      </c>
      <c r="V370">
        <v>0</v>
      </c>
      <c r="W370">
        <v>31</v>
      </c>
      <c r="X370">
        <v>31</v>
      </c>
      <c r="Y370">
        <v>0</v>
      </c>
      <c r="Z370">
        <v>0</v>
      </c>
      <c r="AA370">
        <v>0</v>
      </c>
      <c r="AB370" t="s">
        <v>125</v>
      </c>
      <c r="AC370" t="s">
        <v>191</v>
      </c>
      <c r="AD370">
        <v>2022</v>
      </c>
      <c r="AE370" t="s">
        <v>76</v>
      </c>
      <c r="AF370" t="b">
        <v>1</v>
      </c>
      <c r="AG370">
        <v>804000</v>
      </c>
      <c r="AH370">
        <v>512885.42</v>
      </c>
      <c r="AI370">
        <v>0.70389999999999997</v>
      </c>
      <c r="AJ370">
        <v>0.15140000000000001</v>
      </c>
      <c r="AK370">
        <v>50</v>
      </c>
      <c r="AL370" t="s">
        <v>77</v>
      </c>
      <c r="AM370">
        <v>2238000</v>
      </c>
      <c r="AN370">
        <v>0.10299999999999999</v>
      </c>
      <c r="AO370">
        <v>782</v>
      </c>
      <c r="AP370">
        <v>806</v>
      </c>
      <c r="AQ370" t="s">
        <v>127</v>
      </c>
      <c r="AR370" t="s">
        <v>215</v>
      </c>
      <c r="AS370">
        <v>1</v>
      </c>
      <c r="AT370">
        <v>2.0500000000000001E-2</v>
      </c>
      <c r="AU370">
        <v>0.37309999999999999</v>
      </c>
      <c r="AV370">
        <v>79084.33</v>
      </c>
      <c r="AW370">
        <v>604.88</v>
      </c>
      <c r="AX370" t="b">
        <v>0</v>
      </c>
      <c r="AY370" t="b">
        <v>0</v>
      </c>
      <c r="AZ370" t="s">
        <v>80</v>
      </c>
      <c r="BA370">
        <v>0</v>
      </c>
      <c r="BB370">
        <v>0</v>
      </c>
      <c r="BC370">
        <v>0</v>
      </c>
      <c r="BD370">
        <v>0</v>
      </c>
      <c r="BE370" t="s">
        <v>108</v>
      </c>
      <c r="BF370" t="b">
        <v>0</v>
      </c>
    </row>
    <row r="371" spans="1:58" x14ac:dyDescent="0.3">
      <c r="A371" t="s">
        <v>917</v>
      </c>
      <c r="B371" t="s">
        <v>67</v>
      </c>
      <c r="C371" t="s">
        <v>918</v>
      </c>
      <c r="D371" t="s">
        <v>95</v>
      </c>
      <c r="E371" t="s">
        <v>96</v>
      </c>
      <c r="F371" t="s">
        <v>124</v>
      </c>
      <c r="G371" s="1">
        <v>44394</v>
      </c>
      <c r="H371" s="1">
        <v>45596</v>
      </c>
      <c r="I371" s="1">
        <v>46194</v>
      </c>
      <c r="J371">
        <v>840600</v>
      </c>
      <c r="K371">
        <v>60</v>
      </c>
      <c r="L371">
        <v>21</v>
      </c>
      <c r="M371">
        <v>39</v>
      </c>
      <c r="N371">
        <v>12.52</v>
      </c>
      <c r="O371">
        <v>18920.32</v>
      </c>
      <c r="P371" t="s">
        <v>72</v>
      </c>
      <c r="Q371">
        <v>293252.32</v>
      </c>
      <c r="R371">
        <v>18920.32</v>
      </c>
      <c r="S371">
        <v>19052.3</v>
      </c>
      <c r="T371" s="1">
        <v>45595</v>
      </c>
      <c r="U371" t="s">
        <v>73</v>
      </c>
      <c r="V371">
        <v>0</v>
      </c>
      <c r="W371">
        <v>39</v>
      </c>
      <c r="X371">
        <v>39</v>
      </c>
      <c r="Y371">
        <v>0</v>
      </c>
      <c r="Z371">
        <v>0</v>
      </c>
      <c r="AA371">
        <v>0</v>
      </c>
      <c r="AB371" t="s">
        <v>97</v>
      </c>
      <c r="AC371" t="s">
        <v>152</v>
      </c>
      <c r="AD371">
        <v>2021</v>
      </c>
      <c r="AE371" t="s">
        <v>99</v>
      </c>
      <c r="AF371" t="b">
        <v>1</v>
      </c>
      <c r="AG371">
        <v>1036000</v>
      </c>
      <c r="AH371">
        <v>574698.56000000006</v>
      </c>
      <c r="AI371">
        <v>0.81140000000000001</v>
      </c>
      <c r="AJ371">
        <v>0.53210000000000002</v>
      </c>
      <c r="AK371">
        <v>39</v>
      </c>
      <c r="AL371" t="s">
        <v>120</v>
      </c>
      <c r="AM371">
        <v>1565000</v>
      </c>
      <c r="AN371">
        <v>0.14510000000000001</v>
      </c>
      <c r="AO371">
        <v>663</v>
      </c>
      <c r="AP371">
        <v>671</v>
      </c>
      <c r="AQ371" t="s">
        <v>78</v>
      </c>
      <c r="AR371" t="s">
        <v>133</v>
      </c>
      <c r="AS371">
        <v>1</v>
      </c>
      <c r="AT371">
        <v>2.4400000000000002E-2</v>
      </c>
      <c r="AU371">
        <v>0.39439999999999997</v>
      </c>
      <c r="AV371">
        <v>303252.33</v>
      </c>
      <c r="AW371">
        <v>2918.31</v>
      </c>
      <c r="AX371" t="b">
        <v>0</v>
      </c>
      <c r="AY371" t="b">
        <v>0</v>
      </c>
      <c r="AZ371" t="s">
        <v>80</v>
      </c>
      <c r="BA371">
        <v>0</v>
      </c>
      <c r="BB371">
        <v>0</v>
      </c>
      <c r="BC371">
        <v>0</v>
      </c>
      <c r="BD371">
        <v>0</v>
      </c>
      <c r="BE371" t="s">
        <v>108</v>
      </c>
      <c r="BF371" t="b">
        <v>0</v>
      </c>
    </row>
    <row r="372" spans="1:58" x14ac:dyDescent="0.3">
      <c r="A372" t="s">
        <v>919</v>
      </c>
      <c r="B372" t="s">
        <v>67</v>
      </c>
      <c r="C372" t="s">
        <v>920</v>
      </c>
      <c r="D372" t="s">
        <v>95</v>
      </c>
      <c r="E372" t="s">
        <v>96</v>
      </c>
      <c r="F372" t="s">
        <v>71</v>
      </c>
      <c r="G372" s="1">
        <v>45202</v>
      </c>
      <c r="H372" s="1">
        <v>45596</v>
      </c>
      <c r="I372" s="1">
        <v>47362</v>
      </c>
      <c r="J372">
        <v>1337800</v>
      </c>
      <c r="K372">
        <v>72</v>
      </c>
      <c r="L372">
        <v>60</v>
      </c>
      <c r="M372">
        <v>12</v>
      </c>
      <c r="N372">
        <v>9.67</v>
      </c>
      <c r="O372">
        <v>24561.82</v>
      </c>
      <c r="P372" t="s">
        <v>72</v>
      </c>
      <c r="Q372">
        <v>1119940.27</v>
      </c>
      <c r="R372">
        <v>24561.82</v>
      </c>
      <c r="S372">
        <v>579.41</v>
      </c>
      <c r="T372" s="1">
        <v>45565</v>
      </c>
      <c r="U372" t="s">
        <v>380</v>
      </c>
      <c r="V372">
        <v>144</v>
      </c>
      <c r="W372">
        <v>12</v>
      </c>
      <c r="X372">
        <v>8</v>
      </c>
      <c r="Y372">
        <v>0</v>
      </c>
      <c r="Z372">
        <v>0</v>
      </c>
      <c r="AA372">
        <v>2</v>
      </c>
      <c r="AB372" t="s">
        <v>174</v>
      </c>
      <c r="AC372" t="s">
        <v>175</v>
      </c>
      <c r="AD372">
        <v>2023</v>
      </c>
      <c r="AE372" t="s">
        <v>76</v>
      </c>
      <c r="AF372" t="b">
        <v>1</v>
      </c>
      <c r="AG372">
        <v>1981000</v>
      </c>
      <c r="AH372">
        <v>1773287.81</v>
      </c>
      <c r="AI372">
        <v>0.67530000000000001</v>
      </c>
      <c r="AJ372">
        <v>0.66039999999999999</v>
      </c>
      <c r="AK372">
        <v>44</v>
      </c>
      <c r="AL372" t="s">
        <v>77</v>
      </c>
      <c r="AM372">
        <v>2978000</v>
      </c>
      <c r="AN372">
        <v>9.9000000000000005E-2</v>
      </c>
      <c r="AO372">
        <v>780</v>
      </c>
      <c r="AP372">
        <v>782</v>
      </c>
      <c r="AQ372" t="s">
        <v>100</v>
      </c>
      <c r="AR372" t="s">
        <v>149</v>
      </c>
      <c r="AS372">
        <v>3</v>
      </c>
      <c r="AT372">
        <v>0.96860000000000002</v>
      </c>
      <c r="AU372">
        <v>0.42459999999999998</v>
      </c>
      <c r="AV372">
        <v>1153623.8999999999</v>
      </c>
      <c r="AW372">
        <v>474448.09</v>
      </c>
      <c r="AX372" t="b">
        <v>1</v>
      </c>
      <c r="AY372" t="b">
        <v>0</v>
      </c>
      <c r="AZ372" t="s">
        <v>80</v>
      </c>
      <c r="BA372">
        <v>0</v>
      </c>
      <c r="BB372">
        <v>0</v>
      </c>
      <c r="BC372">
        <v>0</v>
      </c>
      <c r="BD372">
        <v>0</v>
      </c>
      <c r="BE372" t="s">
        <v>81</v>
      </c>
      <c r="BF372" t="b">
        <v>1</v>
      </c>
    </row>
    <row r="373" spans="1:58" x14ac:dyDescent="0.3">
      <c r="A373" t="s">
        <v>921</v>
      </c>
      <c r="B373" t="s">
        <v>67</v>
      </c>
      <c r="C373" t="s">
        <v>922</v>
      </c>
      <c r="D373" t="s">
        <v>95</v>
      </c>
      <c r="E373" t="s">
        <v>96</v>
      </c>
      <c r="F373" t="s">
        <v>124</v>
      </c>
      <c r="G373" s="1">
        <v>44876</v>
      </c>
      <c r="H373" s="1">
        <v>45596</v>
      </c>
      <c r="I373" s="1">
        <v>47036</v>
      </c>
      <c r="J373">
        <v>1235500</v>
      </c>
      <c r="K373">
        <v>72</v>
      </c>
      <c r="L373">
        <v>49</v>
      </c>
      <c r="M373">
        <v>23</v>
      </c>
      <c r="N373">
        <v>10.17</v>
      </c>
      <c r="O373">
        <v>22994.73</v>
      </c>
      <c r="P373" t="s">
        <v>72</v>
      </c>
      <c r="Q373">
        <v>816577.91</v>
      </c>
      <c r="R373">
        <v>22994.73</v>
      </c>
      <c r="S373">
        <v>21981</v>
      </c>
      <c r="T373" s="1">
        <v>45573</v>
      </c>
      <c r="U373" t="s">
        <v>73</v>
      </c>
      <c r="V373">
        <v>0</v>
      </c>
      <c r="W373">
        <v>23</v>
      </c>
      <c r="X373">
        <v>23</v>
      </c>
      <c r="Y373">
        <v>0</v>
      </c>
      <c r="Z373">
        <v>0</v>
      </c>
      <c r="AA373">
        <v>0</v>
      </c>
      <c r="AB373" t="s">
        <v>74</v>
      </c>
      <c r="AC373" t="s">
        <v>75</v>
      </c>
      <c r="AD373">
        <v>2022</v>
      </c>
      <c r="AE373" t="s">
        <v>90</v>
      </c>
      <c r="AF373" t="b">
        <v>1</v>
      </c>
      <c r="AG373">
        <v>1471000</v>
      </c>
      <c r="AH373">
        <v>978843.12</v>
      </c>
      <c r="AI373">
        <v>0.83989999999999998</v>
      </c>
      <c r="AJ373">
        <v>0.76670000000000005</v>
      </c>
      <c r="AK373">
        <v>44</v>
      </c>
      <c r="AL373" t="s">
        <v>77</v>
      </c>
      <c r="AM373">
        <v>751000</v>
      </c>
      <c r="AN373">
        <v>0.3674</v>
      </c>
      <c r="AO373">
        <v>740</v>
      </c>
      <c r="AP373">
        <v>712</v>
      </c>
      <c r="AQ373" t="s">
        <v>127</v>
      </c>
      <c r="AR373" t="s">
        <v>185</v>
      </c>
      <c r="AS373">
        <v>1</v>
      </c>
      <c r="AT373">
        <v>2.3E-2</v>
      </c>
      <c r="AU373">
        <v>0.50719999999999998</v>
      </c>
      <c r="AV373">
        <v>817410.85</v>
      </c>
      <c r="AW373">
        <v>9535.59</v>
      </c>
      <c r="AX373" t="b">
        <v>0</v>
      </c>
      <c r="AY373" t="b">
        <v>0</v>
      </c>
      <c r="AZ373" t="s">
        <v>80</v>
      </c>
      <c r="BA373">
        <v>0</v>
      </c>
      <c r="BB373">
        <v>0</v>
      </c>
      <c r="BC373">
        <v>0</v>
      </c>
      <c r="BD373">
        <v>0</v>
      </c>
      <c r="BE373" t="s">
        <v>108</v>
      </c>
      <c r="BF373" t="b">
        <v>0</v>
      </c>
    </row>
    <row r="374" spans="1:58" x14ac:dyDescent="0.3">
      <c r="A374" t="s">
        <v>923</v>
      </c>
      <c r="B374" t="s">
        <v>67</v>
      </c>
      <c r="C374" t="s">
        <v>924</v>
      </c>
      <c r="D374" t="s">
        <v>95</v>
      </c>
      <c r="E374" t="s">
        <v>96</v>
      </c>
      <c r="F374" t="s">
        <v>115</v>
      </c>
      <c r="G374" s="1">
        <v>44200</v>
      </c>
      <c r="H374" s="1">
        <v>45596</v>
      </c>
      <c r="I374" s="1">
        <v>45640</v>
      </c>
      <c r="J374">
        <v>538100</v>
      </c>
      <c r="K374">
        <v>48</v>
      </c>
      <c r="L374">
        <v>3</v>
      </c>
      <c r="M374">
        <v>45</v>
      </c>
      <c r="N374">
        <v>8.82</v>
      </c>
      <c r="O374">
        <v>13344.7</v>
      </c>
      <c r="P374" t="s">
        <v>116</v>
      </c>
      <c r="Q374">
        <v>33400.230000000003</v>
      </c>
      <c r="R374">
        <v>13344.7</v>
      </c>
      <c r="S374">
        <v>13925.24</v>
      </c>
      <c r="T374" s="1">
        <v>45590</v>
      </c>
      <c r="U374" t="s">
        <v>73</v>
      </c>
      <c r="V374">
        <v>0</v>
      </c>
      <c r="W374">
        <v>45</v>
      </c>
      <c r="X374">
        <v>45</v>
      </c>
      <c r="Y374">
        <v>0</v>
      </c>
      <c r="Z374">
        <v>0</v>
      </c>
      <c r="AA374">
        <v>0</v>
      </c>
      <c r="AB374" t="s">
        <v>97</v>
      </c>
      <c r="AC374" t="s">
        <v>98</v>
      </c>
      <c r="AD374">
        <v>2017</v>
      </c>
      <c r="AE374" t="s">
        <v>119</v>
      </c>
      <c r="AF374" t="b">
        <v>0</v>
      </c>
      <c r="AG374">
        <v>675000</v>
      </c>
      <c r="AH374">
        <v>301126.25</v>
      </c>
      <c r="AI374">
        <v>0.79720000000000002</v>
      </c>
      <c r="AJ374">
        <v>0.1076</v>
      </c>
      <c r="AK374">
        <v>59</v>
      </c>
      <c r="AL374" t="s">
        <v>77</v>
      </c>
      <c r="AM374">
        <v>4886000</v>
      </c>
      <c r="AN374">
        <v>3.2800000000000003E-2</v>
      </c>
      <c r="AO374">
        <v>674</v>
      </c>
      <c r="AP374">
        <v>643</v>
      </c>
      <c r="AQ374" t="s">
        <v>78</v>
      </c>
      <c r="AR374" t="s">
        <v>133</v>
      </c>
      <c r="AS374">
        <v>1</v>
      </c>
      <c r="AT374">
        <v>2.1499999999999998E-2</v>
      </c>
      <c r="AU374">
        <v>0.63060000000000005</v>
      </c>
      <c r="AV374">
        <v>34883.589999999997</v>
      </c>
      <c r="AW374">
        <v>472.95</v>
      </c>
      <c r="AX374" t="b">
        <v>0</v>
      </c>
      <c r="AY374" t="b">
        <v>0</v>
      </c>
      <c r="AZ374" t="s">
        <v>80</v>
      </c>
      <c r="BA374">
        <v>0</v>
      </c>
      <c r="BB374">
        <v>0</v>
      </c>
      <c r="BC374">
        <v>0</v>
      </c>
      <c r="BD374">
        <v>0</v>
      </c>
      <c r="BE374" t="s">
        <v>134</v>
      </c>
      <c r="BF374" t="b">
        <v>1</v>
      </c>
    </row>
    <row r="375" spans="1:58" x14ac:dyDescent="0.3">
      <c r="A375" t="s">
        <v>925</v>
      </c>
      <c r="B375" t="s">
        <v>67</v>
      </c>
      <c r="C375" t="s">
        <v>926</v>
      </c>
      <c r="D375" t="s">
        <v>95</v>
      </c>
      <c r="E375" t="s">
        <v>96</v>
      </c>
      <c r="F375" t="s">
        <v>115</v>
      </c>
      <c r="G375" s="1">
        <v>44566</v>
      </c>
      <c r="H375" s="1">
        <v>45596</v>
      </c>
      <c r="I375" s="1">
        <v>47086</v>
      </c>
      <c r="J375">
        <v>865000</v>
      </c>
      <c r="K375">
        <v>84</v>
      </c>
      <c r="L375">
        <v>51</v>
      </c>
      <c r="M375">
        <v>33</v>
      </c>
      <c r="N375">
        <v>13.94</v>
      </c>
      <c r="O375">
        <v>16181.45</v>
      </c>
      <c r="P375" t="s">
        <v>72</v>
      </c>
      <c r="Q375">
        <v>546539.02</v>
      </c>
      <c r="R375">
        <v>16181.45</v>
      </c>
      <c r="S375">
        <v>16233.11</v>
      </c>
      <c r="T375" s="1">
        <v>45571</v>
      </c>
      <c r="U375" t="s">
        <v>73</v>
      </c>
      <c r="V375">
        <v>0</v>
      </c>
      <c r="W375">
        <v>33</v>
      </c>
      <c r="X375">
        <v>33</v>
      </c>
      <c r="Y375">
        <v>0</v>
      </c>
      <c r="Z375">
        <v>0</v>
      </c>
      <c r="AA375">
        <v>0</v>
      </c>
      <c r="AB375" t="s">
        <v>104</v>
      </c>
      <c r="AC375" t="s">
        <v>105</v>
      </c>
      <c r="AD375">
        <v>2022</v>
      </c>
      <c r="AE375" t="s">
        <v>166</v>
      </c>
      <c r="AF375" t="b">
        <v>1</v>
      </c>
      <c r="AG375">
        <v>1322000</v>
      </c>
      <c r="AH375">
        <v>839518.06</v>
      </c>
      <c r="AI375">
        <v>0.65429999999999999</v>
      </c>
      <c r="AJ375">
        <v>0.6845</v>
      </c>
      <c r="AK375">
        <v>59</v>
      </c>
      <c r="AL375" t="s">
        <v>120</v>
      </c>
      <c r="AM375">
        <v>3985000</v>
      </c>
      <c r="AN375">
        <v>4.87E-2</v>
      </c>
      <c r="AO375">
        <v>679</v>
      </c>
      <c r="AP375">
        <v>699</v>
      </c>
      <c r="AQ375" t="s">
        <v>145</v>
      </c>
      <c r="AR375" t="s">
        <v>157</v>
      </c>
      <c r="AS375">
        <v>1</v>
      </c>
      <c r="AT375">
        <v>2.4199999999999999E-2</v>
      </c>
      <c r="AU375">
        <v>0.37730000000000002</v>
      </c>
      <c r="AV375">
        <v>564432.81999999995</v>
      </c>
      <c r="AW375">
        <v>5153.6400000000003</v>
      </c>
      <c r="AX375" t="b">
        <v>0</v>
      </c>
      <c r="AY375" t="b">
        <v>0</v>
      </c>
      <c r="AZ375" t="s">
        <v>80</v>
      </c>
      <c r="BA375">
        <v>0</v>
      </c>
      <c r="BB375">
        <v>0</v>
      </c>
      <c r="BC375">
        <v>0</v>
      </c>
      <c r="BD375">
        <v>0</v>
      </c>
      <c r="BE375" t="s">
        <v>108</v>
      </c>
      <c r="BF375" t="b">
        <v>1</v>
      </c>
    </row>
    <row r="376" spans="1:58" x14ac:dyDescent="0.3">
      <c r="A376" t="s">
        <v>927</v>
      </c>
      <c r="B376" t="s">
        <v>67</v>
      </c>
      <c r="C376" t="s">
        <v>928</v>
      </c>
      <c r="D376" t="s">
        <v>69</v>
      </c>
      <c r="E376" t="s">
        <v>70</v>
      </c>
      <c r="F376" t="s">
        <v>115</v>
      </c>
      <c r="G376" s="1">
        <v>45514</v>
      </c>
      <c r="H376" s="1">
        <v>45596</v>
      </c>
      <c r="I376" s="1">
        <v>47674</v>
      </c>
      <c r="J376">
        <v>2010700</v>
      </c>
      <c r="K376">
        <v>72</v>
      </c>
      <c r="L376">
        <v>70</v>
      </c>
      <c r="M376">
        <v>2</v>
      </c>
      <c r="N376">
        <v>10.33</v>
      </c>
      <c r="O376">
        <v>37585.379999999997</v>
      </c>
      <c r="P376" t="s">
        <v>72</v>
      </c>
      <c r="Q376">
        <v>1869928.74</v>
      </c>
      <c r="R376">
        <v>37585.379999999997</v>
      </c>
      <c r="S376">
        <v>35886.36</v>
      </c>
      <c r="T376" s="1">
        <v>45595</v>
      </c>
      <c r="U376" t="s">
        <v>73</v>
      </c>
      <c r="V376">
        <v>0</v>
      </c>
      <c r="W376">
        <v>2</v>
      </c>
      <c r="X376">
        <v>2</v>
      </c>
      <c r="Y376">
        <v>0</v>
      </c>
      <c r="Z376">
        <v>0</v>
      </c>
      <c r="AA376">
        <v>0</v>
      </c>
      <c r="AB376" t="s">
        <v>125</v>
      </c>
      <c r="AC376" t="s">
        <v>238</v>
      </c>
      <c r="AD376">
        <v>2024</v>
      </c>
      <c r="AE376" t="s">
        <v>166</v>
      </c>
      <c r="AF376" t="b">
        <v>1</v>
      </c>
      <c r="AG376">
        <v>2862000</v>
      </c>
      <c r="AH376">
        <v>2540353.88</v>
      </c>
      <c r="AI376">
        <v>0.70250000000000001</v>
      </c>
      <c r="AJ376">
        <v>0.6694</v>
      </c>
      <c r="AK376">
        <v>23</v>
      </c>
      <c r="AL376" t="s">
        <v>120</v>
      </c>
      <c r="AM376">
        <v>790000</v>
      </c>
      <c r="AN376">
        <v>0.57089999999999996</v>
      </c>
      <c r="AO376">
        <v>793</v>
      </c>
      <c r="AP376">
        <v>804</v>
      </c>
      <c r="AQ376" t="s">
        <v>78</v>
      </c>
      <c r="AR376" t="s">
        <v>133</v>
      </c>
      <c r="AS376">
        <v>1</v>
      </c>
      <c r="AT376">
        <v>1.77E-2</v>
      </c>
      <c r="AU376">
        <v>0.5262</v>
      </c>
      <c r="AV376">
        <v>1954101.37</v>
      </c>
      <c r="AW376">
        <v>18199.990000000002</v>
      </c>
      <c r="AX376" t="b">
        <v>0</v>
      </c>
      <c r="AY376" t="b">
        <v>0</v>
      </c>
      <c r="AZ376" t="s">
        <v>80</v>
      </c>
      <c r="BA376">
        <v>0</v>
      </c>
      <c r="BB376">
        <v>0</v>
      </c>
      <c r="BC376">
        <v>0</v>
      </c>
      <c r="BD376">
        <v>0</v>
      </c>
      <c r="BE376" t="s">
        <v>108</v>
      </c>
      <c r="BF376" t="b">
        <v>1</v>
      </c>
    </row>
    <row r="377" spans="1:58" x14ac:dyDescent="0.3">
      <c r="A377" t="s">
        <v>929</v>
      </c>
      <c r="B377" t="s">
        <v>67</v>
      </c>
      <c r="C377" t="s">
        <v>930</v>
      </c>
      <c r="D377" t="s">
        <v>69</v>
      </c>
      <c r="E377" t="s">
        <v>70</v>
      </c>
      <c r="F377" t="s">
        <v>115</v>
      </c>
      <c r="G377" s="1">
        <v>44817</v>
      </c>
      <c r="H377" s="1">
        <v>45596</v>
      </c>
      <c r="I377" s="1">
        <v>46977</v>
      </c>
      <c r="J377">
        <v>673800</v>
      </c>
      <c r="K377">
        <v>72</v>
      </c>
      <c r="L377">
        <v>47</v>
      </c>
      <c r="M377">
        <v>25</v>
      </c>
      <c r="N377">
        <v>12.67</v>
      </c>
      <c r="O377">
        <v>13408.86</v>
      </c>
      <c r="P377" t="s">
        <v>72</v>
      </c>
      <c r="Q377">
        <v>430428.03</v>
      </c>
      <c r="R377">
        <v>13408.86</v>
      </c>
      <c r="S377">
        <v>10559.77</v>
      </c>
      <c r="T377" s="1">
        <v>45572</v>
      </c>
      <c r="U377" t="s">
        <v>143</v>
      </c>
      <c r="V377">
        <v>40</v>
      </c>
      <c r="W377">
        <v>25</v>
      </c>
      <c r="X377">
        <v>19</v>
      </c>
      <c r="Y377">
        <v>0</v>
      </c>
      <c r="Z377">
        <v>0</v>
      </c>
      <c r="AA377">
        <v>0</v>
      </c>
      <c r="AB377" t="s">
        <v>174</v>
      </c>
      <c r="AC377" t="s">
        <v>305</v>
      </c>
      <c r="AD377">
        <v>2022</v>
      </c>
      <c r="AE377" t="s">
        <v>90</v>
      </c>
      <c r="AF377" t="b">
        <v>1</v>
      </c>
      <c r="AG377">
        <v>758000</v>
      </c>
      <c r="AH377">
        <v>565255.84</v>
      </c>
      <c r="AI377">
        <v>0.88890000000000002</v>
      </c>
      <c r="AJ377">
        <v>0.81120000000000003</v>
      </c>
      <c r="AK377">
        <v>56</v>
      </c>
      <c r="AL377" t="s">
        <v>106</v>
      </c>
      <c r="AM377">
        <v>797000</v>
      </c>
      <c r="AN377">
        <v>0.2019</v>
      </c>
      <c r="AO377">
        <v>704</v>
      </c>
      <c r="AP377">
        <v>666</v>
      </c>
      <c r="AQ377" t="s">
        <v>127</v>
      </c>
      <c r="AR377" t="s">
        <v>153</v>
      </c>
      <c r="AS377">
        <v>2</v>
      </c>
      <c r="AT377">
        <v>0.15060000000000001</v>
      </c>
      <c r="AU377">
        <v>0.35139999999999999</v>
      </c>
      <c r="AV377">
        <v>435601.5</v>
      </c>
      <c r="AW377">
        <v>23052.400000000001</v>
      </c>
      <c r="AX377" t="b">
        <v>0</v>
      </c>
      <c r="AY377" t="b">
        <v>0</v>
      </c>
      <c r="AZ377" t="s">
        <v>80</v>
      </c>
      <c r="BA377">
        <v>0</v>
      </c>
      <c r="BB377">
        <v>0</v>
      </c>
      <c r="BC377">
        <v>0</v>
      </c>
      <c r="BD377">
        <v>0</v>
      </c>
      <c r="BE377" t="s">
        <v>108</v>
      </c>
      <c r="BF377" t="b">
        <v>0</v>
      </c>
    </row>
    <row r="378" spans="1:58" x14ac:dyDescent="0.3">
      <c r="A378" t="s">
        <v>931</v>
      </c>
      <c r="B378" t="s">
        <v>67</v>
      </c>
      <c r="C378" t="s">
        <v>932</v>
      </c>
      <c r="D378" t="s">
        <v>95</v>
      </c>
      <c r="E378" t="s">
        <v>96</v>
      </c>
      <c r="F378" t="s">
        <v>115</v>
      </c>
      <c r="G378" s="1">
        <v>44958</v>
      </c>
      <c r="H378" s="1">
        <v>45596</v>
      </c>
      <c r="I378" s="1">
        <v>47118</v>
      </c>
      <c r="J378">
        <v>809800</v>
      </c>
      <c r="K378">
        <v>72</v>
      </c>
      <c r="L378">
        <v>52</v>
      </c>
      <c r="M378">
        <v>20</v>
      </c>
      <c r="N378">
        <v>12.26</v>
      </c>
      <c r="O378">
        <v>15941.45</v>
      </c>
      <c r="P378" t="s">
        <v>72</v>
      </c>
      <c r="Q378">
        <v>588672.24</v>
      </c>
      <c r="R378">
        <v>15941.45</v>
      </c>
      <c r="S378">
        <v>15256.8</v>
      </c>
      <c r="T378" s="1">
        <v>45589</v>
      </c>
      <c r="U378" t="s">
        <v>73</v>
      </c>
      <c r="V378">
        <v>0</v>
      </c>
      <c r="W378">
        <v>20</v>
      </c>
      <c r="X378">
        <v>20</v>
      </c>
      <c r="Y378">
        <v>0</v>
      </c>
      <c r="Z378">
        <v>0</v>
      </c>
      <c r="AA378">
        <v>0</v>
      </c>
      <c r="AB378" t="s">
        <v>174</v>
      </c>
      <c r="AC378" t="s">
        <v>305</v>
      </c>
      <c r="AD378">
        <v>2023</v>
      </c>
      <c r="AE378" t="s">
        <v>90</v>
      </c>
      <c r="AF378" t="b">
        <v>1</v>
      </c>
      <c r="AG378">
        <v>971000</v>
      </c>
      <c r="AH378">
        <v>681178.17</v>
      </c>
      <c r="AI378">
        <v>0.83399999999999996</v>
      </c>
      <c r="AJ378">
        <v>0.79769999999999996</v>
      </c>
      <c r="AK378">
        <v>42</v>
      </c>
      <c r="AL378" t="s">
        <v>77</v>
      </c>
      <c r="AM378">
        <v>4719000</v>
      </c>
      <c r="AN378">
        <v>4.0500000000000001E-2</v>
      </c>
      <c r="AO378">
        <v>817</v>
      </c>
      <c r="AP378">
        <v>801</v>
      </c>
      <c r="AQ378" t="s">
        <v>127</v>
      </c>
      <c r="AR378" t="s">
        <v>128</v>
      </c>
      <c r="AS378">
        <v>1</v>
      </c>
      <c r="AT378">
        <v>2.1499999999999998E-2</v>
      </c>
      <c r="AU378">
        <v>0.46860000000000002</v>
      </c>
      <c r="AV378">
        <v>609158.09</v>
      </c>
      <c r="AW378">
        <v>6137.21</v>
      </c>
      <c r="AX378" t="b">
        <v>0</v>
      </c>
      <c r="AY378" t="b">
        <v>0</v>
      </c>
      <c r="AZ378" t="s">
        <v>80</v>
      </c>
      <c r="BA378">
        <v>0</v>
      </c>
      <c r="BB378">
        <v>0</v>
      </c>
      <c r="BC378">
        <v>0</v>
      </c>
      <c r="BD378">
        <v>0</v>
      </c>
      <c r="BE378" t="s">
        <v>81</v>
      </c>
      <c r="BF378" t="b">
        <v>1</v>
      </c>
    </row>
    <row r="379" spans="1:58" x14ac:dyDescent="0.3">
      <c r="A379" t="s">
        <v>933</v>
      </c>
      <c r="B379" t="s">
        <v>67</v>
      </c>
      <c r="C379" t="s">
        <v>934</v>
      </c>
      <c r="D379" t="s">
        <v>95</v>
      </c>
      <c r="E379" t="s">
        <v>96</v>
      </c>
      <c r="F379" t="s">
        <v>71</v>
      </c>
      <c r="G379" s="1">
        <v>45197</v>
      </c>
      <c r="H379" s="1">
        <v>45596</v>
      </c>
      <c r="I379" s="1">
        <v>47357</v>
      </c>
      <c r="J379">
        <v>1325100</v>
      </c>
      <c r="K379">
        <v>72</v>
      </c>
      <c r="L379">
        <v>59</v>
      </c>
      <c r="M379">
        <v>13</v>
      </c>
      <c r="N379">
        <v>9.49</v>
      </c>
      <c r="O379">
        <v>24209.16</v>
      </c>
      <c r="P379" t="s">
        <v>72</v>
      </c>
      <c r="Q379">
        <v>1023915.53</v>
      </c>
      <c r="R379">
        <v>24209.16</v>
      </c>
      <c r="S379">
        <v>23344.31</v>
      </c>
      <c r="T379" s="1">
        <v>45594</v>
      </c>
      <c r="U379" t="s">
        <v>73</v>
      </c>
      <c r="V379">
        <v>0</v>
      </c>
      <c r="W379">
        <v>13</v>
      </c>
      <c r="X379">
        <v>13</v>
      </c>
      <c r="Y379">
        <v>0</v>
      </c>
      <c r="Z379">
        <v>0</v>
      </c>
      <c r="AA379">
        <v>0</v>
      </c>
      <c r="AB379" t="s">
        <v>74</v>
      </c>
      <c r="AC379" t="s">
        <v>420</v>
      </c>
      <c r="AD379">
        <v>2023</v>
      </c>
      <c r="AE379" t="s">
        <v>76</v>
      </c>
      <c r="AF379" t="b">
        <v>1</v>
      </c>
      <c r="AG379">
        <v>1921000</v>
      </c>
      <c r="AH379">
        <v>1674139.2</v>
      </c>
      <c r="AI379">
        <v>0.68979999999999997</v>
      </c>
      <c r="AJ379">
        <v>0.63149999999999995</v>
      </c>
      <c r="AK379">
        <v>59</v>
      </c>
      <c r="AL379" t="s">
        <v>106</v>
      </c>
      <c r="AM379">
        <v>1125000</v>
      </c>
      <c r="AN379">
        <v>0.25819999999999999</v>
      </c>
      <c r="AO379">
        <v>701</v>
      </c>
      <c r="AP379">
        <v>662</v>
      </c>
      <c r="AQ379" t="s">
        <v>78</v>
      </c>
      <c r="AR379" t="s">
        <v>133</v>
      </c>
      <c r="AS379">
        <v>1</v>
      </c>
      <c r="AT379">
        <v>1.4999999999999999E-2</v>
      </c>
      <c r="AU379">
        <v>0.55810000000000004</v>
      </c>
      <c r="AV379">
        <v>1027366.14</v>
      </c>
      <c r="AW379">
        <v>8600.6</v>
      </c>
      <c r="AX379" t="b">
        <v>0</v>
      </c>
      <c r="AY379" t="b">
        <v>0</v>
      </c>
      <c r="AZ379" t="s">
        <v>80</v>
      </c>
      <c r="BA379">
        <v>0</v>
      </c>
      <c r="BB379">
        <v>0</v>
      </c>
      <c r="BC379">
        <v>0</v>
      </c>
      <c r="BD379">
        <v>0</v>
      </c>
      <c r="BE379" t="s">
        <v>108</v>
      </c>
      <c r="BF379" t="b">
        <v>1</v>
      </c>
    </row>
    <row r="380" spans="1:58" x14ac:dyDescent="0.3">
      <c r="A380" t="s">
        <v>935</v>
      </c>
      <c r="B380" t="s">
        <v>67</v>
      </c>
      <c r="C380" t="s">
        <v>936</v>
      </c>
      <c r="D380" t="s">
        <v>95</v>
      </c>
      <c r="E380" t="s">
        <v>96</v>
      </c>
      <c r="F380" t="s">
        <v>115</v>
      </c>
      <c r="G380" s="1">
        <v>45228</v>
      </c>
      <c r="H380" s="1">
        <v>45596</v>
      </c>
      <c r="I380" s="1">
        <v>47028</v>
      </c>
      <c r="J380">
        <v>776400</v>
      </c>
      <c r="K380">
        <v>60</v>
      </c>
      <c r="L380">
        <v>48</v>
      </c>
      <c r="M380">
        <v>12</v>
      </c>
      <c r="N380">
        <v>13.52</v>
      </c>
      <c r="O380">
        <v>17872.849999999999</v>
      </c>
      <c r="P380" t="s">
        <v>72</v>
      </c>
      <c r="Q380">
        <v>582374.74</v>
      </c>
      <c r="R380">
        <v>17872.849999999999</v>
      </c>
      <c r="S380">
        <v>17957.07</v>
      </c>
      <c r="T380" s="1">
        <v>45576</v>
      </c>
      <c r="U380" t="s">
        <v>73</v>
      </c>
      <c r="V380">
        <v>0</v>
      </c>
      <c r="W380">
        <v>12</v>
      </c>
      <c r="X380">
        <v>12</v>
      </c>
      <c r="Y380">
        <v>0</v>
      </c>
      <c r="Z380">
        <v>0</v>
      </c>
      <c r="AA380">
        <v>0</v>
      </c>
      <c r="AB380" t="s">
        <v>125</v>
      </c>
      <c r="AC380" t="s">
        <v>191</v>
      </c>
      <c r="AD380">
        <v>2023</v>
      </c>
      <c r="AE380" t="s">
        <v>99</v>
      </c>
      <c r="AF380" t="b">
        <v>1</v>
      </c>
      <c r="AG380">
        <v>833000</v>
      </c>
      <c r="AH380">
        <v>649831.04</v>
      </c>
      <c r="AI380">
        <v>0.93200000000000005</v>
      </c>
      <c r="AJ380">
        <v>0.81669999999999998</v>
      </c>
      <c r="AK380">
        <v>45</v>
      </c>
      <c r="AL380" t="s">
        <v>120</v>
      </c>
      <c r="AM380">
        <v>1243000</v>
      </c>
      <c r="AN380">
        <v>0.17249999999999999</v>
      </c>
      <c r="AO380">
        <v>814</v>
      </c>
      <c r="AP380">
        <v>771</v>
      </c>
      <c r="AQ380" t="s">
        <v>127</v>
      </c>
      <c r="AR380" t="s">
        <v>215</v>
      </c>
      <c r="AS380">
        <v>1</v>
      </c>
      <c r="AT380">
        <v>2.4500000000000001E-2</v>
      </c>
      <c r="AU380">
        <v>0.37080000000000002</v>
      </c>
      <c r="AV380">
        <v>589531.43000000005</v>
      </c>
      <c r="AW380">
        <v>5355.66</v>
      </c>
      <c r="AX380" t="b">
        <v>0</v>
      </c>
      <c r="AY380" t="b">
        <v>0</v>
      </c>
      <c r="AZ380" t="s">
        <v>80</v>
      </c>
      <c r="BA380">
        <v>0</v>
      </c>
      <c r="BB380">
        <v>0</v>
      </c>
      <c r="BC380">
        <v>0</v>
      </c>
      <c r="BD380">
        <v>0</v>
      </c>
      <c r="BE380" t="s">
        <v>81</v>
      </c>
      <c r="BF380" t="b">
        <v>1</v>
      </c>
    </row>
    <row r="381" spans="1:58" x14ac:dyDescent="0.3">
      <c r="A381" t="s">
        <v>937</v>
      </c>
      <c r="B381" t="s">
        <v>67</v>
      </c>
      <c r="C381" t="s">
        <v>938</v>
      </c>
      <c r="D381" t="s">
        <v>95</v>
      </c>
      <c r="E381" t="s">
        <v>96</v>
      </c>
      <c r="F381" t="s">
        <v>124</v>
      </c>
      <c r="G381" s="1">
        <v>44330</v>
      </c>
      <c r="H381" s="1">
        <v>45596</v>
      </c>
      <c r="I381" s="1">
        <v>46130</v>
      </c>
      <c r="J381">
        <v>1274200</v>
      </c>
      <c r="K381">
        <v>60</v>
      </c>
      <c r="L381">
        <v>19</v>
      </c>
      <c r="M381">
        <v>41</v>
      </c>
      <c r="N381">
        <v>10.09</v>
      </c>
      <c r="O381">
        <v>27129.45</v>
      </c>
      <c r="P381" t="s">
        <v>72</v>
      </c>
      <c r="Q381">
        <v>371831.45</v>
      </c>
      <c r="R381">
        <v>27129.45</v>
      </c>
      <c r="S381">
        <v>27007.32</v>
      </c>
      <c r="T381" s="1">
        <v>45587</v>
      </c>
      <c r="U381" t="s">
        <v>73</v>
      </c>
      <c r="V381">
        <v>0</v>
      </c>
      <c r="W381">
        <v>41</v>
      </c>
      <c r="X381">
        <v>41</v>
      </c>
      <c r="Y381">
        <v>0</v>
      </c>
      <c r="Z381">
        <v>0</v>
      </c>
      <c r="AA381">
        <v>0</v>
      </c>
      <c r="AB381" t="s">
        <v>174</v>
      </c>
      <c r="AC381" t="s">
        <v>175</v>
      </c>
      <c r="AD381">
        <v>2021</v>
      </c>
      <c r="AE381" t="s">
        <v>90</v>
      </c>
      <c r="AF381" t="b">
        <v>1</v>
      </c>
      <c r="AG381">
        <v>1493000</v>
      </c>
      <c r="AH381">
        <v>751500.17</v>
      </c>
      <c r="AI381">
        <v>0.85340000000000005</v>
      </c>
      <c r="AJ381">
        <v>0.49030000000000001</v>
      </c>
      <c r="AK381">
        <v>39</v>
      </c>
      <c r="AL381" t="s">
        <v>132</v>
      </c>
      <c r="AM381">
        <v>1863000</v>
      </c>
      <c r="AN381">
        <v>0.17469999999999999</v>
      </c>
      <c r="AO381">
        <v>749</v>
      </c>
      <c r="AP381">
        <v>771</v>
      </c>
      <c r="AQ381" t="s">
        <v>145</v>
      </c>
      <c r="AR381" t="s">
        <v>176</v>
      </c>
      <c r="AS381">
        <v>1</v>
      </c>
      <c r="AT381">
        <v>1.9400000000000001E-2</v>
      </c>
      <c r="AU381">
        <v>0.57440000000000002</v>
      </c>
      <c r="AV381">
        <v>384527.28</v>
      </c>
      <c r="AW381">
        <v>4284.93</v>
      </c>
      <c r="AX381" t="b">
        <v>0</v>
      </c>
      <c r="AY381" t="b">
        <v>0</v>
      </c>
      <c r="AZ381" t="s">
        <v>80</v>
      </c>
      <c r="BA381">
        <v>0</v>
      </c>
      <c r="BB381">
        <v>0</v>
      </c>
      <c r="BC381">
        <v>0</v>
      </c>
      <c r="BD381">
        <v>0</v>
      </c>
      <c r="BE381" t="s">
        <v>108</v>
      </c>
      <c r="BF381" t="b">
        <v>1</v>
      </c>
    </row>
    <row r="382" spans="1:58" x14ac:dyDescent="0.3">
      <c r="A382" t="s">
        <v>939</v>
      </c>
      <c r="B382" t="s">
        <v>67</v>
      </c>
      <c r="C382" t="s">
        <v>940</v>
      </c>
      <c r="D382" t="s">
        <v>95</v>
      </c>
      <c r="E382" t="s">
        <v>96</v>
      </c>
      <c r="F382" t="s">
        <v>124</v>
      </c>
      <c r="G382" s="1">
        <v>44934</v>
      </c>
      <c r="H382" s="1">
        <v>45596</v>
      </c>
      <c r="I382" s="1">
        <v>46734</v>
      </c>
      <c r="J382">
        <v>1433600</v>
      </c>
      <c r="K382">
        <v>60</v>
      </c>
      <c r="L382">
        <v>39</v>
      </c>
      <c r="M382">
        <v>21</v>
      </c>
      <c r="N382">
        <v>13.67</v>
      </c>
      <c r="O382">
        <v>33112.61</v>
      </c>
      <c r="P382" t="s">
        <v>72</v>
      </c>
      <c r="Q382">
        <v>890104.48</v>
      </c>
      <c r="R382">
        <v>33112.61</v>
      </c>
      <c r="S382">
        <v>32175.39</v>
      </c>
      <c r="T382" s="1">
        <v>45584</v>
      </c>
      <c r="U382" t="s">
        <v>73</v>
      </c>
      <c r="V382">
        <v>0</v>
      </c>
      <c r="W382">
        <v>21</v>
      </c>
      <c r="X382">
        <v>21</v>
      </c>
      <c r="Y382">
        <v>0</v>
      </c>
      <c r="Z382">
        <v>0</v>
      </c>
      <c r="AA382">
        <v>0</v>
      </c>
      <c r="AB382" t="s">
        <v>125</v>
      </c>
      <c r="AC382" t="s">
        <v>191</v>
      </c>
      <c r="AD382">
        <v>2023</v>
      </c>
      <c r="AE382" t="s">
        <v>76</v>
      </c>
      <c r="AF382" t="b">
        <v>1</v>
      </c>
      <c r="AG382">
        <v>1948000</v>
      </c>
      <c r="AH382">
        <v>1477033.28</v>
      </c>
      <c r="AI382">
        <v>0.73599999999999999</v>
      </c>
      <c r="AJ382">
        <v>0.6109</v>
      </c>
      <c r="AK382">
        <v>50</v>
      </c>
      <c r="AL382" t="s">
        <v>106</v>
      </c>
      <c r="AM382">
        <v>2624000</v>
      </c>
      <c r="AN382">
        <v>0.15140000000000001</v>
      </c>
      <c r="AO382">
        <v>831</v>
      </c>
      <c r="AP382">
        <v>850</v>
      </c>
      <c r="AQ382" t="s">
        <v>100</v>
      </c>
      <c r="AR382" t="s">
        <v>107</v>
      </c>
      <c r="AS382">
        <v>1</v>
      </c>
      <c r="AT382">
        <v>1.9599999999999999E-2</v>
      </c>
      <c r="AU382">
        <v>0.45129999999999998</v>
      </c>
      <c r="AV382">
        <v>919717.07</v>
      </c>
      <c r="AW382">
        <v>8135.34</v>
      </c>
      <c r="AX382" t="b">
        <v>0</v>
      </c>
      <c r="AY382" t="b">
        <v>0</v>
      </c>
      <c r="AZ382" t="s">
        <v>80</v>
      </c>
      <c r="BA382">
        <v>0</v>
      </c>
      <c r="BB382">
        <v>0</v>
      </c>
      <c r="BC382">
        <v>0</v>
      </c>
      <c r="BD382">
        <v>0</v>
      </c>
      <c r="BE382" t="s">
        <v>81</v>
      </c>
      <c r="BF382" t="b">
        <v>1</v>
      </c>
    </row>
    <row r="383" spans="1:58" x14ac:dyDescent="0.3">
      <c r="A383" t="s">
        <v>941</v>
      </c>
      <c r="B383" t="s">
        <v>67</v>
      </c>
      <c r="C383" t="s">
        <v>942</v>
      </c>
      <c r="D383" t="s">
        <v>95</v>
      </c>
      <c r="E383" t="s">
        <v>96</v>
      </c>
      <c r="F383" t="s">
        <v>115</v>
      </c>
      <c r="G383" s="1">
        <v>45547</v>
      </c>
      <c r="H383" s="1">
        <v>45596</v>
      </c>
      <c r="I383" s="1">
        <v>47347</v>
      </c>
      <c r="J383">
        <v>1446500</v>
      </c>
      <c r="K383">
        <v>60</v>
      </c>
      <c r="L383">
        <v>59</v>
      </c>
      <c r="M383">
        <v>1</v>
      </c>
      <c r="N383">
        <v>12.01</v>
      </c>
      <c r="O383">
        <v>32183.9</v>
      </c>
      <c r="P383" t="s">
        <v>72</v>
      </c>
      <c r="Q383">
        <v>1325707.51</v>
      </c>
      <c r="R383">
        <v>32183.9</v>
      </c>
      <c r="S383">
        <v>32387.83</v>
      </c>
      <c r="T383" s="1">
        <v>45587</v>
      </c>
      <c r="U383" t="s">
        <v>73</v>
      </c>
      <c r="V383">
        <v>0</v>
      </c>
      <c r="W383">
        <v>1</v>
      </c>
      <c r="X383">
        <v>1</v>
      </c>
      <c r="Y383">
        <v>0</v>
      </c>
      <c r="Z383">
        <v>0</v>
      </c>
      <c r="AA383">
        <v>0</v>
      </c>
      <c r="AB383" t="s">
        <v>104</v>
      </c>
      <c r="AC383" t="s">
        <v>156</v>
      </c>
      <c r="AD383">
        <v>2024</v>
      </c>
      <c r="AE383" t="s">
        <v>90</v>
      </c>
      <c r="AF383" t="b">
        <v>1</v>
      </c>
      <c r="AG383">
        <v>1649000</v>
      </c>
      <c r="AH383">
        <v>1675233.37</v>
      </c>
      <c r="AI383">
        <v>0.87719999999999998</v>
      </c>
      <c r="AJ383">
        <v>0.81369999999999998</v>
      </c>
      <c r="AK383">
        <v>52</v>
      </c>
      <c r="AL383" t="s">
        <v>132</v>
      </c>
      <c r="AM383">
        <v>1576000</v>
      </c>
      <c r="AN383">
        <v>0.24510000000000001</v>
      </c>
      <c r="AO383">
        <v>848</v>
      </c>
      <c r="AP383">
        <v>877</v>
      </c>
      <c r="AQ383" t="s">
        <v>127</v>
      </c>
      <c r="AR383" t="s">
        <v>128</v>
      </c>
      <c r="AS383">
        <v>1</v>
      </c>
      <c r="AT383">
        <v>2.23E-2</v>
      </c>
      <c r="AU383">
        <v>0.46579999999999999</v>
      </c>
      <c r="AV383">
        <v>1369919.43</v>
      </c>
      <c r="AW383">
        <v>14229.82</v>
      </c>
      <c r="AX383" t="b">
        <v>0</v>
      </c>
      <c r="AY383" t="b">
        <v>0</v>
      </c>
      <c r="AZ383" t="s">
        <v>80</v>
      </c>
      <c r="BA383">
        <v>0</v>
      </c>
      <c r="BB383">
        <v>0</v>
      </c>
      <c r="BC383">
        <v>0</v>
      </c>
      <c r="BD383">
        <v>0</v>
      </c>
      <c r="BE383" t="s">
        <v>108</v>
      </c>
      <c r="BF383" t="b">
        <v>0</v>
      </c>
    </row>
    <row r="384" spans="1:58" x14ac:dyDescent="0.3">
      <c r="A384" t="s">
        <v>943</v>
      </c>
      <c r="B384" t="s">
        <v>67</v>
      </c>
      <c r="C384" t="s">
        <v>944</v>
      </c>
      <c r="D384" t="s">
        <v>69</v>
      </c>
      <c r="E384" t="s">
        <v>70</v>
      </c>
      <c r="F384" t="s">
        <v>86</v>
      </c>
      <c r="G384" s="1">
        <v>45374</v>
      </c>
      <c r="H384" s="1">
        <v>45596</v>
      </c>
      <c r="I384" s="1">
        <v>47534</v>
      </c>
      <c r="J384">
        <v>1255900</v>
      </c>
      <c r="K384">
        <v>72</v>
      </c>
      <c r="L384">
        <v>65</v>
      </c>
      <c r="M384">
        <v>7</v>
      </c>
      <c r="N384">
        <v>9.7100000000000009</v>
      </c>
      <c r="O384">
        <v>23083.35</v>
      </c>
      <c r="P384" t="s">
        <v>72</v>
      </c>
      <c r="Q384">
        <v>1179097.3</v>
      </c>
      <c r="R384">
        <v>23083.35</v>
      </c>
      <c r="S384">
        <v>23025.84</v>
      </c>
      <c r="T384" s="1">
        <v>45585</v>
      </c>
      <c r="U384" t="s">
        <v>73</v>
      </c>
      <c r="V384">
        <v>0</v>
      </c>
      <c r="W384">
        <v>7</v>
      </c>
      <c r="X384">
        <v>7</v>
      </c>
      <c r="Y384">
        <v>0</v>
      </c>
      <c r="Z384">
        <v>0</v>
      </c>
      <c r="AA384">
        <v>0</v>
      </c>
      <c r="AB384" t="s">
        <v>125</v>
      </c>
      <c r="AC384" t="s">
        <v>191</v>
      </c>
      <c r="AD384">
        <v>2024</v>
      </c>
      <c r="AE384" t="s">
        <v>166</v>
      </c>
      <c r="AF384" t="b">
        <v>1</v>
      </c>
      <c r="AG384">
        <v>1463000</v>
      </c>
      <c r="AH384">
        <v>1283754.06</v>
      </c>
      <c r="AI384">
        <v>0.85850000000000004</v>
      </c>
      <c r="AJ384">
        <v>0.87990000000000002</v>
      </c>
      <c r="AK384">
        <v>55</v>
      </c>
      <c r="AL384" t="s">
        <v>132</v>
      </c>
      <c r="AM384">
        <v>2446000</v>
      </c>
      <c r="AN384">
        <v>0.1132</v>
      </c>
      <c r="AO384">
        <v>671</v>
      </c>
      <c r="AP384">
        <v>623</v>
      </c>
      <c r="AQ384" t="s">
        <v>145</v>
      </c>
      <c r="AR384" t="s">
        <v>146</v>
      </c>
      <c r="AS384">
        <v>1</v>
      </c>
      <c r="AT384">
        <v>2.41E-2</v>
      </c>
      <c r="AU384">
        <v>0.45889999999999997</v>
      </c>
      <c r="AV384">
        <v>1232701.75</v>
      </c>
      <c r="AW384">
        <v>13633.05</v>
      </c>
      <c r="AX384" t="b">
        <v>0</v>
      </c>
      <c r="AY384" t="b">
        <v>0</v>
      </c>
      <c r="AZ384" t="s">
        <v>80</v>
      </c>
      <c r="BA384">
        <v>0</v>
      </c>
      <c r="BB384">
        <v>0</v>
      </c>
      <c r="BC384">
        <v>0</v>
      </c>
      <c r="BD384">
        <v>0</v>
      </c>
      <c r="BE384" t="s">
        <v>108</v>
      </c>
      <c r="BF384" t="b">
        <v>0</v>
      </c>
    </row>
    <row r="385" spans="1:58" x14ac:dyDescent="0.3">
      <c r="A385" t="s">
        <v>945</v>
      </c>
      <c r="B385" t="s">
        <v>67</v>
      </c>
      <c r="C385" t="s">
        <v>946</v>
      </c>
      <c r="D385" t="s">
        <v>84</v>
      </c>
      <c r="E385" t="s">
        <v>85</v>
      </c>
      <c r="F385" t="s">
        <v>86</v>
      </c>
      <c r="G385" s="1">
        <v>44404</v>
      </c>
      <c r="H385" s="1">
        <v>45596</v>
      </c>
      <c r="I385" s="1">
        <v>46924</v>
      </c>
      <c r="J385">
        <v>531800</v>
      </c>
      <c r="K385">
        <v>84</v>
      </c>
      <c r="L385">
        <v>45</v>
      </c>
      <c r="M385">
        <v>39</v>
      </c>
      <c r="N385">
        <v>10.37</v>
      </c>
      <c r="O385">
        <v>8930.51</v>
      </c>
      <c r="P385" t="s">
        <v>72</v>
      </c>
      <c r="Q385">
        <v>280405.68</v>
      </c>
      <c r="R385">
        <v>8930.51</v>
      </c>
      <c r="S385">
        <v>9329.35</v>
      </c>
      <c r="T385" s="1">
        <v>45574</v>
      </c>
      <c r="U385" t="s">
        <v>73</v>
      </c>
      <c r="V385">
        <v>0</v>
      </c>
      <c r="W385">
        <v>39</v>
      </c>
      <c r="X385">
        <v>39</v>
      </c>
      <c r="Y385">
        <v>0</v>
      </c>
      <c r="Z385">
        <v>0</v>
      </c>
      <c r="AA385">
        <v>0</v>
      </c>
      <c r="AB385" t="s">
        <v>97</v>
      </c>
      <c r="AC385" t="s">
        <v>98</v>
      </c>
      <c r="AD385">
        <v>2021</v>
      </c>
      <c r="AE385" t="s">
        <v>76</v>
      </c>
      <c r="AF385" t="b">
        <v>1</v>
      </c>
      <c r="AG385">
        <v>829000</v>
      </c>
      <c r="AH385">
        <v>475040.42</v>
      </c>
      <c r="AI385">
        <v>0.64149999999999996</v>
      </c>
      <c r="AJ385">
        <v>0.63580000000000003</v>
      </c>
      <c r="AK385">
        <v>55</v>
      </c>
      <c r="AL385" t="s">
        <v>106</v>
      </c>
      <c r="AM385">
        <v>4576000</v>
      </c>
      <c r="AN385">
        <v>2.3400000000000001E-2</v>
      </c>
      <c r="AO385">
        <v>679</v>
      </c>
      <c r="AP385">
        <v>647</v>
      </c>
      <c r="AQ385" t="s">
        <v>127</v>
      </c>
      <c r="AR385" t="s">
        <v>128</v>
      </c>
      <c r="AS385">
        <v>1</v>
      </c>
      <c r="AT385">
        <v>2.52E-2</v>
      </c>
      <c r="AU385">
        <v>0.52549999999999997</v>
      </c>
      <c r="AV385">
        <v>282955.03999999998</v>
      </c>
      <c r="AW385">
        <v>3747.06</v>
      </c>
      <c r="AX385" t="b">
        <v>0</v>
      </c>
      <c r="AY385" t="b">
        <v>0</v>
      </c>
      <c r="AZ385" t="s">
        <v>80</v>
      </c>
      <c r="BA385">
        <v>0</v>
      </c>
      <c r="BB385">
        <v>0</v>
      </c>
      <c r="BC385">
        <v>0</v>
      </c>
      <c r="BD385">
        <v>0</v>
      </c>
      <c r="BE385" t="s">
        <v>108</v>
      </c>
      <c r="BF385" t="b">
        <v>0</v>
      </c>
    </row>
    <row r="386" spans="1:58" x14ac:dyDescent="0.3">
      <c r="A386" t="s">
        <v>947</v>
      </c>
      <c r="B386" t="s">
        <v>67</v>
      </c>
      <c r="C386" t="s">
        <v>948</v>
      </c>
      <c r="D386" t="s">
        <v>84</v>
      </c>
      <c r="E386" t="s">
        <v>85</v>
      </c>
      <c r="F386" t="s">
        <v>115</v>
      </c>
      <c r="G386" s="1">
        <v>44371</v>
      </c>
      <c r="H386" s="1">
        <v>45596</v>
      </c>
      <c r="I386" s="1">
        <v>45811</v>
      </c>
      <c r="J386">
        <v>759900</v>
      </c>
      <c r="K386">
        <v>48</v>
      </c>
      <c r="L386">
        <v>8</v>
      </c>
      <c r="M386">
        <v>40</v>
      </c>
      <c r="N386">
        <v>8.2799999999999994</v>
      </c>
      <c r="O386">
        <v>18651.419999999998</v>
      </c>
      <c r="P386" t="s">
        <v>72</v>
      </c>
      <c r="Q386">
        <v>131748.21</v>
      </c>
      <c r="R386">
        <v>18651.419999999998</v>
      </c>
      <c r="S386">
        <v>19576.82</v>
      </c>
      <c r="T386" s="1">
        <v>45575</v>
      </c>
      <c r="U386" t="s">
        <v>73</v>
      </c>
      <c r="V386">
        <v>0</v>
      </c>
      <c r="W386">
        <v>40</v>
      </c>
      <c r="X386">
        <v>40</v>
      </c>
      <c r="Y386">
        <v>0</v>
      </c>
      <c r="Z386">
        <v>0</v>
      </c>
      <c r="AA386">
        <v>0</v>
      </c>
      <c r="AB386" t="s">
        <v>111</v>
      </c>
      <c r="AC386" t="s">
        <v>251</v>
      </c>
      <c r="AD386">
        <v>2021</v>
      </c>
      <c r="AE386" t="s">
        <v>90</v>
      </c>
      <c r="AF386" t="b">
        <v>1</v>
      </c>
      <c r="AG386">
        <v>1030000</v>
      </c>
      <c r="AH386">
        <v>486373.62</v>
      </c>
      <c r="AI386">
        <v>0.73780000000000001</v>
      </c>
      <c r="AJ386">
        <v>0.246</v>
      </c>
      <c r="AK386">
        <v>37</v>
      </c>
      <c r="AL386" t="s">
        <v>106</v>
      </c>
      <c r="AM386">
        <v>4088000</v>
      </c>
      <c r="AN386">
        <v>5.4699999999999999E-2</v>
      </c>
      <c r="AO386">
        <v>671</v>
      </c>
      <c r="AP386">
        <v>666</v>
      </c>
      <c r="AQ386" t="s">
        <v>78</v>
      </c>
      <c r="AR386" t="s">
        <v>133</v>
      </c>
      <c r="AS386">
        <v>1</v>
      </c>
      <c r="AT386">
        <v>1.9900000000000001E-2</v>
      </c>
      <c r="AU386">
        <v>0.62170000000000003</v>
      </c>
      <c r="AV386">
        <v>132090.82999999999</v>
      </c>
      <c r="AW386">
        <v>1634.21</v>
      </c>
      <c r="AX386" t="b">
        <v>0</v>
      </c>
      <c r="AY386" t="b">
        <v>0</v>
      </c>
      <c r="AZ386" t="s">
        <v>80</v>
      </c>
      <c r="BA386">
        <v>0</v>
      </c>
      <c r="BB386">
        <v>0</v>
      </c>
      <c r="BC386">
        <v>0</v>
      </c>
      <c r="BD386">
        <v>0</v>
      </c>
      <c r="BE386" t="s">
        <v>134</v>
      </c>
      <c r="BF386" t="b">
        <v>1</v>
      </c>
    </row>
    <row r="387" spans="1:58" x14ac:dyDescent="0.3">
      <c r="A387" t="s">
        <v>949</v>
      </c>
      <c r="B387" t="s">
        <v>67</v>
      </c>
      <c r="C387" t="s">
        <v>950</v>
      </c>
      <c r="D387" t="s">
        <v>95</v>
      </c>
      <c r="E387" t="s">
        <v>96</v>
      </c>
      <c r="F387" t="s">
        <v>86</v>
      </c>
      <c r="G387" s="1">
        <v>45541</v>
      </c>
      <c r="H387" s="1">
        <v>45596</v>
      </c>
      <c r="I387" s="1">
        <v>47341</v>
      </c>
      <c r="J387">
        <v>299600</v>
      </c>
      <c r="K387">
        <v>60</v>
      </c>
      <c r="L387">
        <v>59</v>
      </c>
      <c r="M387">
        <v>1</v>
      </c>
      <c r="N387">
        <v>10.16</v>
      </c>
      <c r="O387">
        <v>6389.23</v>
      </c>
      <c r="P387" t="s">
        <v>116</v>
      </c>
      <c r="Q387">
        <v>299600</v>
      </c>
      <c r="R387">
        <v>6389.23</v>
      </c>
      <c r="S387">
        <v>4403.3500000000004</v>
      </c>
      <c r="T387" s="1">
        <v>45589</v>
      </c>
      <c r="U387" t="s">
        <v>87</v>
      </c>
      <c r="V387">
        <v>26</v>
      </c>
      <c r="W387">
        <v>1</v>
      </c>
      <c r="X387">
        <v>0</v>
      </c>
      <c r="Y387">
        <v>2</v>
      </c>
      <c r="Z387">
        <v>0</v>
      </c>
      <c r="AA387">
        <v>0</v>
      </c>
      <c r="AB387" t="s">
        <v>164</v>
      </c>
      <c r="AC387" t="s">
        <v>426</v>
      </c>
      <c r="AD387">
        <v>2019</v>
      </c>
      <c r="AE387" t="s">
        <v>99</v>
      </c>
      <c r="AF387" t="b">
        <v>0</v>
      </c>
      <c r="AG387">
        <v>366000</v>
      </c>
      <c r="AH387">
        <v>327111.14</v>
      </c>
      <c r="AI387">
        <v>0.81850000000000001</v>
      </c>
      <c r="AJ387">
        <v>0.82850000000000001</v>
      </c>
      <c r="AK387">
        <v>46</v>
      </c>
      <c r="AL387" t="s">
        <v>132</v>
      </c>
      <c r="AM387">
        <v>1103000</v>
      </c>
      <c r="AN387">
        <v>6.9500000000000006E-2</v>
      </c>
      <c r="AO387">
        <v>746</v>
      </c>
      <c r="AP387">
        <v>738</v>
      </c>
      <c r="AQ387" t="s">
        <v>91</v>
      </c>
      <c r="AR387" t="s">
        <v>252</v>
      </c>
      <c r="AS387">
        <v>1</v>
      </c>
      <c r="AT387">
        <v>1.72E-2</v>
      </c>
      <c r="AU387">
        <v>0.624</v>
      </c>
      <c r="AV387">
        <v>313363.27</v>
      </c>
      <c r="AW387">
        <v>3363.27</v>
      </c>
      <c r="AX387" t="b">
        <v>0</v>
      </c>
      <c r="AY387" t="b">
        <v>0</v>
      </c>
      <c r="AZ387" t="s">
        <v>80</v>
      </c>
      <c r="BA387">
        <v>0</v>
      </c>
      <c r="BB387">
        <v>0</v>
      </c>
      <c r="BC387">
        <v>0</v>
      </c>
      <c r="BD387">
        <v>0</v>
      </c>
      <c r="BE387" t="s">
        <v>134</v>
      </c>
      <c r="BF387" t="b">
        <v>1</v>
      </c>
    </row>
    <row r="388" spans="1:58" x14ac:dyDescent="0.3">
      <c r="A388" t="s">
        <v>951</v>
      </c>
      <c r="B388" t="s">
        <v>67</v>
      </c>
      <c r="C388" t="s">
        <v>952</v>
      </c>
      <c r="D388" t="s">
        <v>69</v>
      </c>
      <c r="E388" t="s">
        <v>70</v>
      </c>
      <c r="F388" t="s">
        <v>115</v>
      </c>
      <c r="G388" s="1">
        <v>44460</v>
      </c>
      <c r="H388" s="1">
        <v>45596</v>
      </c>
      <c r="I388" s="1">
        <v>45540</v>
      </c>
      <c r="J388">
        <v>310600</v>
      </c>
      <c r="K388">
        <v>36</v>
      </c>
      <c r="L388">
        <v>0</v>
      </c>
      <c r="M388">
        <v>37</v>
      </c>
      <c r="N388">
        <v>12.56</v>
      </c>
      <c r="O388">
        <v>10399.64</v>
      </c>
      <c r="P388" t="s">
        <v>116</v>
      </c>
      <c r="Q388">
        <v>0</v>
      </c>
      <c r="R388">
        <v>10399.64</v>
      </c>
      <c r="S388">
        <v>10430.15</v>
      </c>
      <c r="T388" s="1">
        <v>45566</v>
      </c>
      <c r="U388" t="s">
        <v>73</v>
      </c>
      <c r="V388">
        <v>0</v>
      </c>
      <c r="W388">
        <v>37</v>
      </c>
      <c r="X388">
        <v>37</v>
      </c>
      <c r="Y388">
        <v>0</v>
      </c>
      <c r="Z388">
        <v>0</v>
      </c>
      <c r="AA388">
        <v>0</v>
      </c>
      <c r="AB388" t="s">
        <v>74</v>
      </c>
      <c r="AC388" t="s">
        <v>420</v>
      </c>
      <c r="AD388">
        <v>2018</v>
      </c>
      <c r="AE388" t="s">
        <v>99</v>
      </c>
      <c r="AF388" t="b">
        <v>0</v>
      </c>
      <c r="AG388">
        <v>356000</v>
      </c>
      <c r="AH388">
        <v>210506.95</v>
      </c>
      <c r="AI388">
        <v>0.87260000000000004</v>
      </c>
      <c r="AJ388">
        <v>0</v>
      </c>
      <c r="AK388">
        <v>29</v>
      </c>
      <c r="AL388" t="s">
        <v>77</v>
      </c>
      <c r="AM388">
        <v>3039000</v>
      </c>
      <c r="AN388">
        <v>4.1099999999999998E-2</v>
      </c>
      <c r="AO388">
        <v>767</v>
      </c>
      <c r="AP388">
        <v>797</v>
      </c>
      <c r="AQ388" t="s">
        <v>91</v>
      </c>
      <c r="AR388" t="s">
        <v>252</v>
      </c>
      <c r="AS388">
        <v>1</v>
      </c>
      <c r="AT388">
        <v>1.9199999999999998E-2</v>
      </c>
      <c r="AU388">
        <v>0.55569999999999997</v>
      </c>
      <c r="AV388">
        <v>0</v>
      </c>
      <c r="AW388">
        <v>0</v>
      </c>
      <c r="AX388" t="b">
        <v>0</v>
      </c>
      <c r="AY388" t="b">
        <v>0</v>
      </c>
      <c r="AZ388" t="s">
        <v>80</v>
      </c>
      <c r="BA388">
        <v>0</v>
      </c>
      <c r="BB388">
        <v>0</v>
      </c>
      <c r="BC388">
        <v>0</v>
      </c>
      <c r="BD388">
        <v>0</v>
      </c>
      <c r="BE388" t="s">
        <v>108</v>
      </c>
      <c r="BF388" t="b">
        <v>1</v>
      </c>
    </row>
    <row r="389" spans="1:58" x14ac:dyDescent="0.3">
      <c r="A389" t="s">
        <v>953</v>
      </c>
      <c r="B389" t="s">
        <v>67</v>
      </c>
      <c r="C389" t="s">
        <v>954</v>
      </c>
      <c r="D389" t="s">
        <v>95</v>
      </c>
      <c r="E389" t="s">
        <v>96</v>
      </c>
      <c r="F389" t="s">
        <v>124</v>
      </c>
      <c r="G389" s="1">
        <v>45211</v>
      </c>
      <c r="H389" s="1">
        <v>45596</v>
      </c>
      <c r="I389" s="1">
        <v>46651</v>
      </c>
      <c r="J389">
        <v>1026600</v>
      </c>
      <c r="K389">
        <v>48</v>
      </c>
      <c r="L389">
        <v>36</v>
      </c>
      <c r="M389">
        <v>12</v>
      </c>
      <c r="N389">
        <v>11.05</v>
      </c>
      <c r="O389">
        <v>26557.95</v>
      </c>
      <c r="P389" t="s">
        <v>72</v>
      </c>
      <c r="Q389">
        <v>702143.39</v>
      </c>
      <c r="R389">
        <v>26557.95</v>
      </c>
      <c r="S389">
        <v>26639.09</v>
      </c>
      <c r="T389" s="1">
        <v>45580</v>
      </c>
      <c r="U389" t="s">
        <v>73</v>
      </c>
      <c r="V389">
        <v>0</v>
      </c>
      <c r="W389">
        <v>12</v>
      </c>
      <c r="X389">
        <v>12</v>
      </c>
      <c r="Y389">
        <v>0</v>
      </c>
      <c r="Z389">
        <v>0</v>
      </c>
      <c r="AA389">
        <v>0</v>
      </c>
      <c r="AB389" t="s">
        <v>104</v>
      </c>
      <c r="AC389" t="s">
        <v>105</v>
      </c>
      <c r="AD389">
        <v>2023</v>
      </c>
      <c r="AE389" t="s">
        <v>90</v>
      </c>
      <c r="AF389" t="b">
        <v>1</v>
      </c>
      <c r="AG389">
        <v>1652000</v>
      </c>
      <c r="AH389">
        <v>1352300.92</v>
      </c>
      <c r="AI389">
        <v>0.62139999999999995</v>
      </c>
      <c r="AJ389">
        <v>0.4965</v>
      </c>
      <c r="AK389">
        <v>39</v>
      </c>
      <c r="AL389" t="s">
        <v>77</v>
      </c>
      <c r="AM389">
        <v>4427000</v>
      </c>
      <c r="AN389">
        <v>7.1999999999999995E-2</v>
      </c>
      <c r="AO389">
        <v>797</v>
      </c>
      <c r="AP389">
        <v>771</v>
      </c>
      <c r="AQ389" t="s">
        <v>145</v>
      </c>
      <c r="AR389" t="s">
        <v>146</v>
      </c>
      <c r="AS389">
        <v>1</v>
      </c>
      <c r="AT389">
        <v>2.01E-2</v>
      </c>
      <c r="AU389">
        <v>0.43559999999999999</v>
      </c>
      <c r="AV389">
        <v>717117.42</v>
      </c>
      <c r="AW389">
        <v>6278.76</v>
      </c>
      <c r="AX389" t="b">
        <v>0</v>
      </c>
      <c r="AY389" t="b">
        <v>0</v>
      </c>
      <c r="AZ389" t="s">
        <v>80</v>
      </c>
      <c r="BA389">
        <v>0</v>
      </c>
      <c r="BB389">
        <v>0</v>
      </c>
      <c r="BC389">
        <v>0</v>
      </c>
      <c r="BD389">
        <v>0</v>
      </c>
      <c r="BE389" t="s">
        <v>108</v>
      </c>
      <c r="BF389" t="b">
        <v>0</v>
      </c>
    </row>
    <row r="390" spans="1:58" x14ac:dyDescent="0.3">
      <c r="A390" t="s">
        <v>955</v>
      </c>
      <c r="B390" t="s">
        <v>67</v>
      </c>
      <c r="C390" t="s">
        <v>956</v>
      </c>
      <c r="D390" t="s">
        <v>95</v>
      </c>
      <c r="E390" t="s">
        <v>96</v>
      </c>
      <c r="F390" t="s">
        <v>71</v>
      </c>
      <c r="G390" s="1">
        <v>44527</v>
      </c>
      <c r="H390" s="1">
        <v>45596</v>
      </c>
      <c r="I390" s="1">
        <v>45607</v>
      </c>
      <c r="J390">
        <v>410700</v>
      </c>
      <c r="K390">
        <v>36</v>
      </c>
      <c r="L390">
        <v>1</v>
      </c>
      <c r="M390">
        <v>35</v>
      </c>
      <c r="N390">
        <v>14.34</v>
      </c>
      <c r="O390">
        <v>14104.67</v>
      </c>
      <c r="P390" t="s">
        <v>139</v>
      </c>
      <c r="Q390">
        <v>11421.74</v>
      </c>
      <c r="R390">
        <v>14104.67</v>
      </c>
      <c r="S390">
        <v>3660.08</v>
      </c>
      <c r="T390" s="1">
        <v>45571</v>
      </c>
      <c r="U390" t="s">
        <v>87</v>
      </c>
      <c r="V390">
        <v>15</v>
      </c>
      <c r="W390">
        <v>35</v>
      </c>
      <c r="X390">
        <v>34</v>
      </c>
      <c r="Y390">
        <v>2</v>
      </c>
      <c r="Z390">
        <v>0</v>
      </c>
      <c r="AA390">
        <v>0</v>
      </c>
      <c r="AB390" t="s">
        <v>74</v>
      </c>
      <c r="AC390" t="s">
        <v>75</v>
      </c>
      <c r="AD390">
        <v>2018</v>
      </c>
      <c r="AE390" t="s">
        <v>99</v>
      </c>
      <c r="AF390" t="b">
        <v>0</v>
      </c>
      <c r="AG390">
        <v>654000</v>
      </c>
      <c r="AH390">
        <v>376560.36</v>
      </c>
      <c r="AI390">
        <v>0.628</v>
      </c>
      <c r="AJ390">
        <v>3.0099999999999998E-2</v>
      </c>
      <c r="AK390">
        <v>61</v>
      </c>
      <c r="AL390" t="s">
        <v>106</v>
      </c>
      <c r="AM390">
        <v>3264000</v>
      </c>
      <c r="AN390">
        <v>5.1900000000000002E-2</v>
      </c>
      <c r="AO390">
        <v>666</v>
      </c>
      <c r="AP390">
        <v>688</v>
      </c>
      <c r="AQ390" t="s">
        <v>91</v>
      </c>
      <c r="AR390" t="s">
        <v>252</v>
      </c>
      <c r="AS390">
        <v>1</v>
      </c>
      <c r="AT390">
        <v>1.67E-2</v>
      </c>
      <c r="AU390">
        <v>0.4012</v>
      </c>
      <c r="AV390">
        <v>11816.28</v>
      </c>
      <c r="AW390">
        <v>79.17</v>
      </c>
      <c r="AX390" t="b">
        <v>0</v>
      </c>
      <c r="AY390" t="b">
        <v>0</v>
      </c>
      <c r="AZ390" t="s">
        <v>80</v>
      </c>
      <c r="BA390">
        <v>0</v>
      </c>
      <c r="BB390">
        <v>0</v>
      </c>
      <c r="BC390">
        <v>0</v>
      </c>
      <c r="BD390">
        <v>0</v>
      </c>
      <c r="BE390" t="s">
        <v>108</v>
      </c>
      <c r="BF390" t="b">
        <v>0</v>
      </c>
    </row>
    <row r="391" spans="1:58" x14ac:dyDescent="0.3">
      <c r="A391" t="s">
        <v>957</v>
      </c>
      <c r="B391" t="s">
        <v>67</v>
      </c>
      <c r="C391" t="s">
        <v>958</v>
      </c>
      <c r="D391" t="s">
        <v>84</v>
      </c>
      <c r="E391" t="s">
        <v>85</v>
      </c>
      <c r="F391" t="s">
        <v>86</v>
      </c>
      <c r="G391" s="1">
        <v>45148</v>
      </c>
      <c r="H391" s="1">
        <v>45596</v>
      </c>
      <c r="I391" s="1">
        <v>46588</v>
      </c>
      <c r="J391">
        <v>2244900</v>
      </c>
      <c r="K391">
        <v>48</v>
      </c>
      <c r="L391">
        <v>34</v>
      </c>
      <c r="M391">
        <v>14</v>
      </c>
      <c r="N391">
        <v>10.3</v>
      </c>
      <c r="O391">
        <v>57260.44</v>
      </c>
      <c r="P391" t="s">
        <v>139</v>
      </c>
      <c r="Q391">
        <v>1434451.15</v>
      </c>
      <c r="R391">
        <v>57260.44</v>
      </c>
      <c r="S391">
        <v>55312.56</v>
      </c>
      <c r="T391" s="1">
        <v>45593</v>
      </c>
      <c r="U391" t="s">
        <v>73</v>
      </c>
      <c r="V391">
        <v>0</v>
      </c>
      <c r="W391">
        <v>14</v>
      </c>
      <c r="X391">
        <v>14</v>
      </c>
      <c r="Y391">
        <v>0</v>
      </c>
      <c r="Z391">
        <v>0</v>
      </c>
      <c r="AA391">
        <v>0</v>
      </c>
      <c r="AB391" t="s">
        <v>164</v>
      </c>
      <c r="AC391" t="s">
        <v>279</v>
      </c>
      <c r="AD391">
        <v>2019</v>
      </c>
      <c r="AE391" t="s">
        <v>166</v>
      </c>
      <c r="AF391" t="b">
        <v>0</v>
      </c>
      <c r="AG391">
        <v>2563000</v>
      </c>
      <c r="AH391">
        <v>2069880.52</v>
      </c>
      <c r="AI391">
        <v>0.87590000000000001</v>
      </c>
      <c r="AJ391">
        <v>0.67269999999999996</v>
      </c>
      <c r="AK391">
        <v>34</v>
      </c>
      <c r="AL391" t="s">
        <v>77</v>
      </c>
      <c r="AM391">
        <v>3087000</v>
      </c>
      <c r="AN391">
        <v>0.22259999999999999</v>
      </c>
      <c r="AO391">
        <v>697</v>
      </c>
      <c r="AP391">
        <v>674</v>
      </c>
      <c r="AQ391" t="s">
        <v>145</v>
      </c>
      <c r="AR391" t="s">
        <v>146</v>
      </c>
      <c r="AS391">
        <v>1</v>
      </c>
      <c r="AT391">
        <v>1.67E-2</v>
      </c>
      <c r="AU391">
        <v>0.496</v>
      </c>
      <c r="AV391">
        <v>1486358.86</v>
      </c>
      <c r="AW391">
        <v>12311.81</v>
      </c>
      <c r="AX391" t="b">
        <v>0</v>
      </c>
      <c r="AY391" t="b">
        <v>0</v>
      </c>
      <c r="AZ391" t="s">
        <v>80</v>
      </c>
      <c r="BA391">
        <v>0</v>
      </c>
      <c r="BB391">
        <v>0</v>
      </c>
      <c r="BC391">
        <v>0</v>
      </c>
      <c r="BD391">
        <v>0</v>
      </c>
      <c r="BE391" t="s">
        <v>108</v>
      </c>
      <c r="BF391" t="b">
        <v>0</v>
      </c>
    </row>
    <row r="392" spans="1:58" x14ac:dyDescent="0.3">
      <c r="A392" t="s">
        <v>959</v>
      </c>
      <c r="B392" t="s">
        <v>67</v>
      </c>
      <c r="C392" t="s">
        <v>960</v>
      </c>
      <c r="D392" t="s">
        <v>95</v>
      </c>
      <c r="E392" t="s">
        <v>96</v>
      </c>
      <c r="F392" t="s">
        <v>115</v>
      </c>
      <c r="G392" s="1">
        <v>44414</v>
      </c>
      <c r="H392" s="1">
        <v>45596</v>
      </c>
      <c r="I392" s="1">
        <v>46574</v>
      </c>
      <c r="J392">
        <v>694600</v>
      </c>
      <c r="K392">
        <v>72</v>
      </c>
      <c r="L392">
        <v>34</v>
      </c>
      <c r="M392">
        <v>38</v>
      </c>
      <c r="N392">
        <v>13.13</v>
      </c>
      <c r="O392">
        <v>13991.18</v>
      </c>
      <c r="P392" t="s">
        <v>72</v>
      </c>
      <c r="Q392">
        <v>315689.53999999998</v>
      </c>
      <c r="R392">
        <v>13991.18</v>
      </c>
      <c r="S392">
        <v>14178.48</v>
      </c>
      <c r="T392" s="1">
        <v>45566</v>
      </c>
      <c r="U392" t="s">
        <v>73</v>
      </c>
      <c r="V392">
        <v>0</v>
      </c>
      <c r="W392">
        <v>38</v>
      </c>
      <c r="X392">
        <v>38</v>
      </c>
      <c r="Y392">
        <v>0</v>
      </c>
      <c r="Z392">
        <v>0</v>
      </c>
      <c r="AA392">
        <v>0</v>
      </c>
      <c r="AB392" t="s">
        <v>74</v>
      </c>
      <c r="AC392" t="s">
        <v>260</v>
      </c>
      <c r="AD392">
        <v>2021</v>
      </c>
      <c r="AE392" t="s">
        <v>90</v>
      </c>
      <c r="AF392" t="b">
        <v>1</v>
      </c>
      <c r="AG392">
        <v>1018000</v>
      </c>
      <c r="AH392">
        <v>585558.18999999994</v>
      </c>
      <c r="AI392">
        <v>0.68230000000000002</v>
      </c>
      <c r="AJ392">
        <v>0.57010000000000005</v>
      </c>
      <c r="AK392">
        <v>44</v>
      </c>
      <c r="AL392" t="s">
        <v>77</v>
      </c>
      <c r="AM392">
        <v>1891000</v>
      </c>
      <c r="AN392">
        <v>8.8800000000000004E-2</v>
      </c>
      <c r="AO392">
        <v>729</v>
      </c>
      <c r="AP392">
        <v>758</v>
      </c>
      <c r="AQ392" t="s">
        <v>127</v>
      </c>
      <c r="AR392" t="s">
        <v>128</v>
      </c>
      <c r="AS392">
        <v>1</v>
      </c>
      <c r="AT392">
        <v>1.4200000000000001E-2</v>
      </c>
      <c r="AU392">
        <v>0.46100000000000002</v>
      </c>
      <c r="AV392">
        <v>319574.26</v>
      </c>
      <c r="AW392">
        <v>2092</v>
      </c>
      <c r="AX392" t="b">
        <v>0</v>
      </c>
      <c r="AY392" t="b">
        <v>0</v>
      </c>
      <c r="AZ392" t="s">
        <v>80</v>
      </c>
      <c r="BA392">
        <v>0</v>
      </c>
      <c r="BB392">
        <v>0</v>
      </c>
      <c r="BC392">
        <v>0</v>
      </c>
      <c r="BD392">
        <v>0</v>
      </c>
      <c r="BE392" t="s">
        <v>134</v>
      </c>
      <c r="BF392" t="b">
        <v>1</v>
      </c>
    </row>
    <row r="393" spans="1:58" x14ac:dyDescent="0.3">
      <c r="A393" t="s">
        <v>961</v>
      </c>
      <c r="B393" t="s">
        <v>67</v>
      </c>
      <c r="C393" t="s">
        <v>962</v>
      </c>
      <c r="D393" t="s">
        <v>84</v>
      </c>
      <c r="E393" t="s">
        <v>85</v>
      </c>
      <c r="F393" t="s">
        <v>86</v>
      </c>
      <c r="G393" s="1">
        <v>45333</v>
      </c>
      <c r="H393" s="1">
        <v>45596</v>
      </c>
      <c r="I393" s="1">
        <v>47853</v>
      </c>
      <c r="J393">
        <v>1705200</v>
      </c>
      <c r="K393">
        <v>84</v>
      </c>
      <c r="L393">
        <v>76</v>
      </c>
      <c r="M393">
        <v>8</v>
      </c>
      <c r="N393">
        <v>14.3</v>
      </c>
      <c r="O393">
        <v>32238.73</v>
      </c>
      <c r="P393" t="s">
        <v>72</v>
      </c>
      <c r="Q393">
        <v>1441498.22</v>
      </c>
      <c r="R393">
        <v>32238.73</v>
      </c>
      <c r="S393">
        <v>9382.31</v>
      </c>
      <c r="T393" s="1">
        <v>45593</v>
      </c>
      <c r="U393" t="s">
        <v>143</v>
      </c>
      <c r="V393">
        <v>54</v>
      </c>
      <c r="W393">
        <v>8</v>
      </c>
      <c r="X393">
        <v>3</v>
      </c>
      <c r="Y393">
        <v>3</v>
      </c>
      <c r="Z393">
        <v>2</v>
      </c>
      <c r="AA393">
        <v>0</v>
      </c>
      <c r="AB393" t="s">
        <v>111</v>
      </c>
      <c r="AC393" t="s">
        <v>112</v>
      </c>
      <c r="AD393">
        <v>2024</v>
      </c>
      <c r="AE393" t="s">
        <v>76</v>
      </c>
      <c r="AF393" t="b">
        <v>1</v>
      </c>
      <c r="AG393">
        <v>1952000</v>
      </c>
      <c r="AH393">
        <v>1755342.73</v>
      </c>
      <c r="AI393">
        <v>0.87360000000000004</v>
      </c>
      <c r="AJ393">
        <v>0.81689999999999996</v>
      </c>
      <c r="AK393">
        <v>37</v>
      </c>
      <c r="AL393" t="s">
        <v>77</v>
      </c>
      <c r="AM393">
        <v>2596000</v>
      </c>
      <c r="AN393">
        <v>0.14899999999999999</v>
      </c>
      <c r="AO393">
        <v>770</v>
      </c>
      <c r="AP393">
        <v>722</v>
      </c>
      <c r="AQ393" t="s">
        <v>91</v>
      </c>
      <c r="AR393" t="s">
        <v>252</v>
      </c>
      <c r="AS393">
        <v>2</v>
      </c>
      <c r="AT393">
        <v>8.8800000000000004E-2</v>
      </c>
      <c r="AU393">
        <v>0.46689999999999998</v>
      </c>
      <c r="AV393">
        <v>1455421.78</v>
      </c>
      <c r="AW393">
        <v>60342.83</v>
      </c>
      <c r="AX393" t="b">
        <v>0</v>
      </c>
      <c r="AY393" t="b">
        <v>0</v>
      </c>
      <c r="AZ393" t="s">
        <v>80</v>
      </c>
      <c r="BA393">
        <v>0</v>
      </c>
      <c r="BB393">
        <v>0</v>
      </c>
      <c r="BC393">
        <v>0</v>
      </c>
      <c r="BD393">
        <v>0</v>
      </c>
      <c r="BE393" t="s">
        <v>108</v>
      </c>
      <c r="BF393" t="b">
        <v>0</v>
      </c>
    </row>
    <row r="394" spans="1:58" x14ac:dyDescent="0.3">
      <c r="A394" t="s">
        <v>963</v>
      </c>
      <c r="B394" t="s">
        <v>67</v>
      </c>
      <c r="C394" t="s">
        <v>964</v>
      </c>
      <c r="D394" t="s">
        <v>95</v>
      </c>
      <c r="E394" t="s">
        <v>96</v>
      </c>
      <c r="F394" t="s">
        <v>124</v>
      </c>
      <c r="G394" s="1">
        <v>44654</v>
      </c>
      <c r="H394" s="1">
        <v>45596</v>
      </c>
      <c r="I394" s="1">
        <v>46454</v>
      </c>
      <c r="J394">
        <v>801600</v>
      </c>
      <c r="K394">
        <v>60</v>
      </c>
      <c r="L394">
        <v>30</v>
      </c>
      <c r="M394">
        <v>30</v>
      </c>
      <c r="N394">
        <v>14.2</v>
      </c>
      <c r="O394">
        <v>18735.05</v>
      </c>
      <c r="P394" t="s">
        <v>72</v>
      </c>
      <c r="Q394">
        <v>389860.03</v>
      </c>
      <c r="R394">
        <v>18735.05</v>
      </c>
      <c r="S394">
        <v>19019.14</v>
      </c>
      <c r="T394" s="1">
        <v>45570</v>
      </c>
      <c r="U394" t="s">
        <v>73</v>
      </c>
      <c r="V394">
        <v>0</v>
      </c>
      <c r="W394">
        <v>30</v>
      </c>
      <c r="X394">
        <v>30</v>
      </c>
      <c r="Y394">
        <v>0</v>
      </c>
      <c r="Z394">
        <v>0</v>
      </c>
      <c r="AA394">
        <v>0</v>
      </c>
      <c r="AB394" t="s">
        <v>117</v>
      </c>
      <c r="AC394" t="s">
        <v>360</v>
      </c>
      <c r="AD394">
        <v>2022</v>
      </c>
      <c r="AE394" t="s">
        <v>90</v>
      </c>
      <c r="AF394" t="b">
        <v>1</v>
      </c>
      <c r="AG394">
        <v>1231000</v>
      </c>
      <c r="AH394">
        <v>721458.13</v>
      </c>
      <c r="AI394">
        <v>0.65110000000000001</v>
      </c>
      <c r="AJ394">
        <v>0.49480000000000002</v>
      </c>
      <c r="AK394">
        <v>62</v>
      </c>
      <c r="AL394" t="s">
        <v>77</v>
      </c>
      <c r="AM394">
        <v>4173000</v>
      </c>
      <c r="AN394">
        <v>5.3900000000000003E-2</v>
      </c>
      <c r="AO394">
        <v>815</v>
      </c>
      <c r="AP394">
        <v>789</v>
      </c>
      <c r="AQ394" t="s">
        <v>78</v>
      </c>
      <c r="AR394" t="s">
        <v>79</v>
      </c>
      <c r="AS394">
        <v>1</v>
      </c>
      <c r="AT394">
        <v>2.24E-2</v>
      </c>
      <c r="AU394">
        <v>0.60580000000000001</v>
      </c>
      <c r="AV394">
        <v>395672.39</v>
      </c>
      <c r="AW394">
        <v>5369.24</v>
      </c>
      <c r="AX394" t="b">
        <v>0</v>
      </c>
      <c r="AY394" t="b">
        <v>0</v>
      </c>
      <c r="AZ394" t="s">
        <v>80</v>
      </c>
      <c r="BA394">
        <v>0</v>
      </c>
      <c r="BB394">
        <v>0</v>
      </c>
      <c r="BC394">
        <v>0</v>
      </c>
      <c r="BD394">
        <v>0</v>
      </c>
      <c r="BE394" t="s">
        <v>81</v>
      </c>
      <c r="BF394" t="b">
        <v>1</v>
      </c>
    </row>
    <row r="395" spans="1:58" x14ac:dyDescent="0.3">
      <c r="A395" t="s">
        <v>965</v>
      </c>
      <c r="B395" t="s">
        <v>67</v>
      </c>
      <c r="C395" t="s">
        <v>966</v>
      </c>
      <c r="D395" t="s">
        <v>95</v>
      </c>
      <c r="E395" t="s">
        <v>96</v>
      </c>
      <c r="F395" t="s">
        <v>115</v>
      </c>
      <c r="G395" s="1">
        <v>45149</v>
      </c>
      <c r="H395" s="1">
        <v>45596</v>
      </c>
      <c r="I395" s="1">
        <v>46949</v>
      </c>
      <c r="J395">
        <v>659500</v>
      </c>
      <c r="K395">
        <v>60</v>
      </c>
      <c r="L395">
        <v>46</v>
      </c>
      <c r="M395">
        <v>14</v>
      </c>
      <c r="N395">
        <v>8.25</v>
      </c>
      <c r="O395">
        <v>13451.33</v>
      </c>
      <c r="P395" t="s">
        <v>72</v>
      </c>
      <c r="Q395">
        <v>475801.87</v>
      </c>
      <c r="R395">
        <v>13451.33</v>
      </c>
      <c r="S395">
        <v>12825.22</v>
      </c>
      <c r="T395" s="1">
        <v>45578</v>
      </c>
      <c r="U395" t="s">
        <v>73</v>
      </c>
      <c r="V395">
        <v>0</v>
      </c>
      <c r="W395">
        <v>14</v>
      </c>
      <c r="X395">
        <v>14</v>
      </c>
      <c r="Y395">
        <v>0</v>
      </c>
      <c r="Z395">
        <v>0</v>
      </c>
      <c r="AA395">
        <v>0</v>
      </c>
      <c r="AB395" t="s">
        <v>208</v>
      </c>
      <c r="AC395" t="s">
        <v>636</v>
      </c>
      <c r="AD395">
        <v>2023</v>
      </c>
      <c r="AE395" t="s">
        <v>90</v>
      </c>
      <c r="AF395" t="b">
        <v>1</v>
      </c>
      <c r="AG395">
        <v>873000</v>
      </c>
      <c r="AH395">
        <v>700771.03</v>
      </c>
      <c r="AI395">
        <v>0.75539999999999996</v>
      </c>
      <c r="AJ395">
        <v>0.65510000000000002</v>
      </c>
      <c r="AK395">
        <v>35</v>
      </c>
      <c r="AL395" t="s">
        <v>120</v>
      </c>
      <c r="AM395">
        <v>1638000</v>
      </c>
      <c r="AN395">
        <v>9.8500000000000004E-2</v>
      </c>
      <c r="AO395">
        <v>800</v>
      </c>
      <c r="AP395">
        <v>766</v>
      </c>
      <c r="AQ395" t="s">
        <v>91</v>
      </c>
      <c r="AR395" t="s">
        <v>92</v>
      </c>
      <c r="AS395">
        <v>1</v>
      </c>
      <c r="AT395">
        <v>2.1499999999999998E-2</v>
      </c>
      <c r="AU395">
        <v>0.54390000000000005</v>
      </c>
      <c r="AV395">
        <v>485211.75</v>
      </c>
      <c r="AW395">
        <v>5673.99</v>
      </c>
      <c r="AX395" t="b">
        <v>0</v>
      </c>
      <c r="AY395" t="b">
        <v>0</v>
      </c>
      <c r="AZ395" t="s">
        <v>80</v>
      </c>
      <c r="BA395">
        <v>0</v>
      </c>
      <c r="BB395">
        <v>0</v>
      </c>
      <c r="BC395">
        <v>0</v>
      </c>
      <c r="BD395">
        <v>0</v>
      </c>
      <c r="BE395" t="s">
        <v>108</v>
      </c>
      <c r="BF395" t="b">
        <v>0</v>
      </c>
    </row>
    <row r="396" spans="1:58" x14ac:dyDescent="0.3">
      <c r="A396" t="s">
        <v>967</v>
      </c>
      <c r="B396" t="s">
        <v>67</v>
      </c>
      <c r="C396" t="s">
        <v>968</v>
      </c>
      <c r="D396" t="s">
        <v>84</v>
      </c>
      <c r="E396" t="s">
        <v>85</v>
      </c>
      <c r="F396" t="s">
        <v>71</v>
      </c>
      <c r="G396" s="1">
        <v>45361</v>
      </c>
      <c r="H396" s="1">
        <v>45596</v>
      </c>
      <c r="I396" s="1">
        <v>46801</v>
      </c>
      <c r="J396">
        <v>1197100</v>
      </c>
      <c r="K396">
        <v>48</v>
      </c>
      <c r="L396">
        <v>41</v>
      </c>
      <c r="M396">
        <v>7</v>
      </c>
      <c r="N396">
        <v>8.56</v>
      </c>
      <c r="O396">
        <v>29540.41</v>
      </c>
      <c r="P396" t="s">
        <v>72</v>
      </c>
      <c r="Q396">
        <v>1000453.89</v>
      </c>
      <c r="R396">
        <v>29540.41</v>
      </c>
      <c r="S396">
        <v>30629.46</v>
      </c>
      <c r="T396" s="1">
        <v>45582</v>
      </c>
      <c r="U396" t="s">
        <v>73</v>
      </c>
      <c r="V396">
        <v>0</v>
      </c>
      <c r="W396">
        <v>7</v>
      </c>
      <c r="X396">
        <v>7</v>
      </c>
      <c r="Y396">
        <v>0</v>
      </c>
      <c r="Z396">
        <v>0</v>
      </c>
      <c r="AA396">
        <v>0</v>
      </c>
      <c r="AB396" t="s">
        <v>117</v>
      </c>
      <c r="AC396" t="s">
        <v>257</v>
      </c>
      <c r="AD396">
        <v>2024</v>
      </c>
      <c r="AE396" t="s">
        <v>76</v>
      </c>
      <c r="AF396" t="b">
        <v>1</v>
      </c>
      <c r="AG396">
        <v>1295000</v>
      </c>
      <c r="AH396">
        <v>1124362.27</v>
      </c>
      <c r="AI396">
        <v>0.9244</v>
      </c>
      <c r="AJ396">
        <v>0.84340000000000004</v>
      </c>
      <c r="AK396">
        <v>37</v>
      </c>
      <c r="AL396" t="s">
        <v>132</v>
      </c>
      <c r="AM396">
        <v>2928000</v>
      </c>
      <c r="AN396">
        <v>0.1211</v>
      </c>
      <c r="AO396">
        <v>736</v>
      </c>
      <c r="AP396">
        <v>696</v>
      </c>
      <c r="AQ396" t="s">
        <v>127</v>
      </c>
      <c r="AR396" t="s">
        <v>185</v>
      </c>
      <c r="AS396">
        <v>1</v>
      </c>
      <c r="AT396">
        <v>2.06E-2</v>
      </c>
      <c r="AU396">
        <v>0.37680000000000002</v>
      </c>
      <c r="AV396">
        <v>1010821.32</v>
      </c>
      <c r="AW396">
        <v>7846.08</v>
      </c>
      <c r="AX396" t="b">
        <v>0</v>
      </c>
      <c r="AY396" t="b">
        <v>0</v>
      </c>
      <c r="AZ396" t="s">
        <v>80</v>
      </c>
      <c r="BA396">
        <v>0</v>
      </c>
      <c r="BB396">
        <v>0</v>
      </c>
      <c r="BC396">
        <v>0</v>
      </c>
      <c r="BD396">
        <v>0</v>
      </c>
      <c r="BE396" t="s">
        <v>108</v>
      </c>
      <c r="BF396" t="b">
        <v>0</v>
      </c>
    </row>
    <row r="397" spans="1:58" x14ac:dyDescent="0.3">
      <c r="A397" t="s">
        <v>969</v>
      </c>
      <c r="B397" t="s">
        <v>67</v>
      </c>
      <c r="C397" t="s">
        <v>970</v>
      </c>
      <c r="D397" t="s">
        <v>69</v>
      </c>
      <c r="E397" t="s">
        <v>70</v>
      </c>
      <c r="F397" t="s">
        <v>86</v>
      </c>
      <c r="G397" s="1">
        <v>45517</v>
      </c>
      <c r="H397" s="1">
        <v>45596</v>
      </c>
      <c r="I397" s="1">
        <v>46957</v>
      </c>
      <c r="J397">
        <v>352300</v>
      </c>
      <c r="K397">
        <v>48</v>
      </c>
      <c r="L397">
        <v>46</v>
      </c>
      <c r="M397">
        <v>2</v>
      </c>
      <c r="N397">
        <v>11</v>
      </c>
      <c r="O397">
        <v>9105.3799999999992</v>
      </c>
      <c r="P397" t="s">
        <v>116</v>
      </c>
      <c r="Q397">
        <v>320213.96000000002</v>
      </c>
      <c r="R397">
        <v>9105.3799999999992</v>
      </c>
      <c r="S397">
        <v>9327.7800000000007</v>
      </c>
      <c r="T397" s="1">
        <v>45578</v>
      </c>
      <c r="U397" t="s">
        <v>73</v>
      </c>
      <c r="V397">
        <v>0</v>
      </c>
      <c r="W397">
        <v>2</v>
      </c>
      <c r="X397">
        <v>2</v>
      </c>
      <c r="Y397">
        <v>0</v>
      </c>
      <c r="Z397">
        <v>0</v>
      </c>
      <c r="AA397">
        <v>0</v>
      </c>
      <c r="AB397" t="s">
        <v>97</v>
      </c>
      <c r="AC397" t="s">
        <v>98</v>
      </c>
      <c r="AD397">
        <v>2022</v>
      </c>
      <c r="AE397" t="s">
        <v>166</v>
      </c>
      <c r="AF397" t="b">
        <v>0</v>
      </c>
      <c r="AG397">
        <v>517000</v>
      </c>
      <c r="AH397">
        <v>480941.44</v>
      </c>
      <c r="AI397">
        <v>0.68140000000000001</v>
      </c>
      <c r="AJ397">
        <v>0.63460000000000005</v>
      </c>
      <c r="AK397">
        <v>47</v>
      </c>
      <c r="AL397" t="s">
        <v>132</v>
      </c>
      <c r="AM397">
        <v>1153000</v>
      </c>
      <c r="AN397">
        <v>9.4799999999999995E-2</v>
      </c>
      <c r="AO397">
        <v>656</v>
      </c>
      <c r="AP397">
        <v>659</v>
      </c>
      <c r="AQ397" t="s">
        <v>78</v>
      </c>
      <c r="AR397" t="s">
        <v>79</v>
      </c>
      <c r="AS397">
        <v>1</v>
      </c>
      <c r="AT397">
        <v>2.01E-2</v>
      </c>
      <c r="AU397">
        <v>0.59870000000000001</v>
      </c>
      <c r="AV397">
        <v>326573.11</v>
      </c>
      <c r="AW397">
        <v>3929.94</v>
      </c>
      <c r="AX397" t="b">
        <v>0</v>
      </c>
      <c r="AY397" t="b">
        <v>0</v>
      </c>
      <c r="AZ397" t="s">
        <v>80</v>
      </c>
      <c r="BA397">
        <v>0</v>
      </c>
      <c r="BB397">
        <v>0</v>
      </c>
      <c r="BC397">
        <v>0</v>
      </c>
      <c r="BD397">
        <v>0</v>
      </c>
      <c r="BE397" t="s">
        <v>108</v>
      </c>
      <c r="BF397" t="b">
        <v>1</v>
      </c>
    </row>
    <row r="398" spans="1:58" x14ac:dyDescent="0.3">
      <c r="A398" t="s">
        <v>971</v>
      </c>
      <c r="B398" t="s">
        <v>67</v>
      </c>
      <c r="C398" t="s">
        <v>972</v>
      </c>
      <c r="D398" t="s">
        <v>84</v>
      </c>
      <c r="E398" t="s">
        <v>85</v>
      </c>
      <c r="F398" t="s">
        <v>86</v>
      </c>
      <c r="G398" s="1">
        <v>44963</v>
      </c>
      <c r="H398" s="1">
        <v>45596</v>
      </c>
      <c r="I398" s="1">
        <v>46403</v>
      </c>
      <c r="J398">
        <v>1142100</v>
      </c>
      <c r="K398">
        <v>48</v>
      </c>
      <c r="L398">
        <v>28</v>
      </c>
      <c r="M398">
        <v>20</v>
      </c>
      <c r="N398">
        <v>9.7899999999999991</v>
      </c>
      <c r="O398">
        <v>28851.56</v>
      </c>
      <c r="P398" t="s">
        <v>72</v>
      </c>
      <c r="Q398">
        <v>625619.43999999994</v>
      </c>
      <c r="R398">
        <v>28851.56</v>
      </c>
      <c r="S398">
        <v>29278.07</v>
      </c>
      <c r="T398" s="1">
        <v>45582</v>
      </c>
      <c r="U398" t="s">
        <v>73</v>
      </c>
      <c r="V398">
        <v>0</v>
      </c>
      <c r="W398">
        <v>20</v>
      </c>
      <c r="X398">
        <v>20</v>
      </c>
      <c r="Y398">
        <v>0</v>
      </c>
      <c r="Z398">
        <v>0</v>
      </c>
      <c r="AA398">
        <v>0</v>
      </c>
      <c r="AB398" t="s">
        <v>97</v>
      </c>
      <c r="AC398" t="s">
        <v>152</v>
      </c>
      <c r="AD398">
        <v>2023</v>
      </c>
      <c r="AE398" t="s">
        <v>76</v>
      </c>
      <c r="AF398" t="b">
        <v>1</v>
      </c>
      <c r="AG398">
        <v>1656000</v>
      </c>
      <c r="AH398">
        <v>1275386.0900000001</v>
      </c>
      <c r="AI398">
        <v>0.68969999999999998</v>
      </c>
      <c r="AJ398">
        <v>0.49709999999999999</v>
      </c>
      <c r="AK398">
        <v>41</v>
      </c>
      <c r="AL398" t="s">
        <v>120</v>
      </c>
      <c r="AM398">
        <v>435000</v>
      </c>
      <c r="AN398">
        <v>0.79590000000000005</v>
      </c>
      <c r="AO398">
        <v>804</v>
      </c>
      <c r="AP398">
        <v>819</v>
      </c>
      <c r="AQ398" t="s">
        <v>127</v>
      </c>
      <c r="AR398" t="s">
        <v>153</v>
      </c>
      <c r="AS398">
        <v>1</v>
      </c>
      <c r="AT398">
        <v>2.4E-2</v>
      </c>
      <c r="AU398">
        <v>0.55230000000000001</v>
      </c>
      <c r="AV398">
        <v>653354.78</v>
      </c>
      <c r="AW398">
        <v>8660.35</v>
      </c>
      <c r="AX398" t="b">
        <v>0</v>
      </c>
      <c r="AY398" t="b">
        <v>0</v>
      </c>
      <c r="AZ398" t="s">
        <v>80</v>
      </c>
      <c r="BA398">
        <v>0</v>
      </c>
      <c r="BB398">
        <v>0</v>
      </c>
      <c r="BC398">
        <v>0</v>
      </c>
      <c r="BD398">
        <v>0</v>
      </c>
      <c r="BE398" t="s">
        <v>81</v>
      </c>
      <c r="BF398" t="b">
        <v>1</v>
      </c>
    </row>
    <row r="399" spans="1:58" x14ac:dyDescent="0.3">
      <c r="A399" t="s">
        <v>973</v>
      </c>
      <c r="B399" t="s">
        <v>67</v>
      </c>
      <c r="C399" t="s">
        <v>974</v>
      </c>
      <c r="D399" t="s">
        <v>69</v>
      </c>
      <c r="E399" t="s">
        <v>70</v>
      </c>
      <c r="F399" t="s">
        <v>86</v>
      </c>
      <c r="G399" s="1">
        <v>44713</v>
      </c>
      <c r="H399" s="1">
        <v>45596</v>
      </c>
      <c r="I399" s="1">
        <v>46513</v>
      </c>
      <c r="J399">
        <v>897400</v>
      </c>
      <c r="K399">
        <v>60</v>
      </c>
      <c r="L399">
        <v>32</v>
      </c>
      <c r="M399">
        <v>28</v>
      </c>
      <c r="N399">
        <v>10.71</v>
      </c>
      <c r="O399">
        <v>19382.11</v>
      </c>
      <c r="P399" t="s">
        <v>139</v>
      </c>
      <c r="Q399">
        <v>458805.04</v>
      </c>
      <c r="R399">
        <v>19382.11</v>
      </c>
      <c r="S399">
        <v>18782.79</v>
      </c>
      <c r="T399" s="1">
        <v>45569</v>
      </c>
      <c r="U399" t="s">
        <v>73</v>
      </c>
      <c r="V399">
        <v>0</v>
      </c>
      <c r="W399">
        <v>28</v>
      </c>
      <c r="X399">
        <v>28</v>
      </c>
      <c r="Y399">
        <v>0</v>
      </c>
      <c r="Z399">
        <v>0</v>
      </c>
      <c r="AA399">
        <v>0</v>
      </c>
      <c r="AB399" t="s">
        <v>125</v>
      </c>
      <c r="AC399" t="s">
        <v>353</v>
      </c>
      <c r="AD399">
        <v>2021</v>
      </c>
      <c r="AE399" t="s">
        <v>76</v>
      </c>
      <c r="AF399" t="b">
        <v>0</v>
      </c>
      <c r="AG399">
        <v>1335000</v>
      </c>
      <c r="AH399">
        <v>929316.48</v>
      </c>
      <c r="AI399">
        <v>0.67220000000000002</v>
      </c>
      <c r="AJ399">
        <v>0.51759999999999995</v>
      </c>
      <c r="AK399">
        <v>34</v>
      </c>
      <c r="AL399" t="s">
        <v>120</v>
      </c>
      <c r="AM399">
        <v>2557000</v>
      </c>
      <c r="AN399">
        <v>9.0999999999999998E-2</v>
      </c>
      <c r="AO399">
        <v>802</v>
      </c>
      <c r="AP399">
        <v>788</v>
      </c>
      <c r="AQ399" t="s">
        <v>100</v>
      </c>
      <c r="AR399" t="s">
        <v>121</v>
      </c>
      <c r="AS399">
        <v>1</v>
      </c>
      <c r="AT399">
        <v>1.9300000000000001E-2</v>
      </c>
      <c r="AU399">
        <v>0.56859999999999999</v>
      </c>
      <c r="AV399">
        <v>480855.4</v>
      </c>
      <c r="AW399">
        <v>5276.9</v>
      </c>
      <c r="AX399" t="b">
        <v>0</v>
      </c>
      <c r="AY399" t="b">
        <v>0</v>
      </c>
      <c r="AZ399" t="s">
        <v>80</v>
      </c>
      <c r="BA399">
        <v>0</v>
      </c>
      <c r="BB399">
        <v>0</v>
      </c>
      <c r="BC399">
        <v>0</v>
      </c>
      <c r="BD399">
        <v>0</v>
      </c>
      <c r="BE399" t="s">
        <v>108</v>
      </c>
      <c r="BF399" t="b">
        <v>1</v>
      </c>
    </row>
    <row r="400" spans="1:58" x14ac:dyDescent="0.3">
      <c r="A400" t="s">
        <v>975</v>
      </c>
      <c r="B400" t="s">
        <v>67</v>
      </c>
      <c r="C400" t="s">
        <v>976</v>
      </c>
      <c r="D400" t="s">
        <v>95</v>
      </c>
      <c r="E400" t="s">
        <v>96</v>
      </c>
      <c r="F400" t="s">
        <v>115</v>
      </c>
      <c r="G400" s="1">
        <v>44960</v>
      </c>
      <c r="H400" s="1">
        <v>45596</v>
      </c>
      <c r="I400" s="1">
        <v>46040</v>
      </c>
      <c r="J400">
        <v>369200</v>
      </c>
      <c r="K400">
        <v>36</v>
      </c>
      <c r="L400">
        <v>16</v>
      </c>
      <c r="M400">
        <v>20</v>
      </c>
      <c r="N400">
        <v>9.61</v>
      </c>
      <c r="O400">
        <v>11845.56</v>
      </c>
      <c r="P400" t="s">
        <v>72</v>
      </c>
      <c r="Q400">
        <v>154146.54999999999</v>
      </c>
      <c r="R400">
        <v>11845.56</v>
      </c>
      <c r="S400">
        <v>11700.36</v>
      </c>
      <c r="T400" s="1">
        <v>45594</v>
      </c>
      <c r="U400" t="s">
        <v>73</v>
      </c>
      <c r="V400">
        <v>0</v>
      </c>
      <c r="W400">
        <v>20</v>
      </c>
      <c r="X400">
        <v>20</v>
      </c>
      <c r="Y400">
        <v>0</v>
      </c>
      <c r="Z400">
        <v>0</v>
      </c>
      <c r="AA400">
        <v>0</v>
      </c>
      <c r="AB400" t="s">
        <v>74</v>
      </c>
      <c r="AC400" t="s">
        <v>260</v>
      </c>
      <c r="AD400">
        <v>2023</v>
      </c>
      <c r="AE400" t="s">
        <v>99</v>
      </c>
      <c r="AF400" t="b">
        <v>1</v>
      </c>
      <c r="AG400">
        <v>603000</v>
      </c>
      <c r="AH400">
        <v>458043.84</v>
      </c>
      <c r="AI400">
        <v>0.61219999999999997</v>
      </c>
      <c r="AJ400">
        <v>0.33639999999999998</v>
      </c>
      <c r="AK400">
        <v>36</v>
      </c>
      <c r="AL400" t="s">
        <v>132</v>
      </c>
      <c r="AM400">
        <v>2335000</v>
      </c>
      <c r="AN400">
        <v>6.0900000000000003E-2</v>
      </c>
      <c r="AO400">
        <v>824</v>
      </c>
      <c r="AP400">
        <v>777</v>
      </c>
      <c r="AQ400" t="s">
        <v>127</v>
      </c>
      <c r="AR400" t="s">
        <v>153</v>
      </c>
      <c r="AS400">
        <v>1</v>
      </c>
      <c r="AT400">
        <v>2.24E-2</v>
      </c>
      <c r="AU400">
        <v>0.49390000000000001</v>
      </c>
      <c r="AV400">
        <v>159783.95000000001</v>
      </c>
      <c r="AW400">
        <v>1767.75</v>
      </c>
      <c r="AX400" t="b">
        <v>0</v>
      </c>
      <c r="AY400" t="b">
        <v>0</v>
      </c>
      <c r="AZ400" t="s">
        <v>80</v>
      </c>
      <c r="BA400">
        <v>0</v>
      </c>
      <c r="BB400">
        <v>0</v>
      </c>
      <c r="BC400">
        <v>0</v>
      </c>
      <c r="BD400">
        <v>0</v>
      </c>
      <c r="BE400" t="s">
        <v>108</v>
      </c>
      <c r="BF400" t="b">
        <v>1</v>
      </c>
    </row>
    <row r="401" spans="1:58" x14ac:dyDescent="0.3">
      <c r="A401" t="s">
        <v>977</v>
      </c>
      <c r="B401" t="s">
        <v>67</v>
      </c>
      <c r="C401" t="s">
        <v>978</v>
      </c>
      <c r="D401" t="s">
        <v>95</v>
      </c>
      <c r="E401" t="s">
        <v>96</v>
      </c>
      <c r="F401" t="s">
        <v>124</v>
      </c>
      <c r="G401" s="1">
        <v>45150</v>
      </c>
      <c r="H401" s="1">
        <v>45596</v>
      </c>
      <c r="I401" s="1">
        <v>46950</v>
      </c>
      <c r="J401">
        <v>1399900</v>
      </c>
      <c r="K401">
        <v>60</v>
      </c>
      <c r="L401">
        <v>46</v>
      </c>
      <c r="M401">
        <v>14</v>
      </c>
      <c r="N401">
        <v>12.47</v>
      </c>
      <c r="O401">
        <v>31473.51</v>
      </c>
      <c r="P401" t="s">
        <v>72</v>
      </c>
      <c r="Q401">
        <v>1081660.94</v>
      </c>
      <c r="R401">
        <v>31473.51</v>
      </c>
      <c r="S401">
        <v>18511.330000000002</v>
      </c>
      <c r="T401" s="1">
        <v>45574</v>
      </c>
      <c r="U401" t="s">
        <v>979</v>
      </c>
      <c r="V401">
        <v>406</v>
      </c>
      <c r="W401">
        <v>14</v>
      </c>
      <c r="X401">
        <v>9</v>
      </c>
      <c r="Y401">
        <v>1</v>
      </c>
      <c r="Z401">
        <v>2</v>
      </c>
      <c r="AA401">
        <v>2</v>
      </c>
      <c r="AB401" t="s">
        <v>174</v>
      </c>
      <c r="AC401" t="s">
        <v>305</v>
      </c>
      <c r="AD401">
        <v>2023</v>
      </c>
      <c r="AE401" t="s">
        <v>90</v>
      </c>
      <c r="AF401" t="b">
        <v>1</v>
      </c>
      <c r="AG401">
        <v>1687000</v>
      </c>
      <c r="AH401">
        <v>1377477.8</v>
      </c>
      <c r="AI401">
        <v>0.82979999999999998</v>
      </c>
      <c r="AJ401">
        <v>0.77059999999999995</v>
      </c>
      <c r="AK401">
        <v>40</v>
      </c>
      <c r="AL401" t="s">
        <v>132</v>
      </c>
      <c r="AM401">
        <v>2904000</v>
      </c>
      <c r="AN401">
        <v>0.13009999999999999</v>
      </c>
      <c r="AO401">
        <v>698</v>
      </c>
      <c r="AP401">
        <v>678</v>
      </c>
      <c r="AQ401" t="s">
        <v>127</v>
      </c>
      <c r="AR401" t="s">
        <v>128</v>
      </c>
      <c r="AS401">
        <v>3</v>
      </c>
      <c r="AT401">
        <v>0.87270000000000003</v>
      </c>
      <c r="AU401">
        <v>0.46200000000000002</v>
      </c>
      <c r="AV401">
        <v>1130434.1599999999</v>
      </c>
      <c r="AW401">
        <v>455776.81</v>
      </c>
      <c r="AX401" t="b">
        <v>1</v>
      </c>
      <c r="AY401" t="b">
        <v>0</v>
      </c>
      <c r="AZ401" t="s">
        <v>80</v>
      </c>
      <c r="BA401">
        <v>482003</v>
      </c>
      <c r="BB401">
        <v>182879</v>
      </c>
      <c r="BC401">
        <v>299124</v>
      </c>
      <c r="BD401">
        <v>0</v>
      </c>
      <c r="BE401" t="s">
        <v>134</v>
      </c>
      <c r="BF401" t="b">
        <v>1</v>
      </c>
    </row>
    <row r="402" spans="1:58" x14ac:dyDescent="0.3">
      <c r="A402" t="s">
        <v>980</v>
      </c>
      <c r="B402" t="s">
        <v>67</v>
      </c>
      <c r="C402" t="s">
        <v>981</v>
      </c>
      <c r="D402" t="s">
        <v>69</v>
      </c>
      <c r="E402" t="s">
        <v>70</v>
      </c>
      <c r="F402" t="s">
        <v>124</v>
      </c>
      <c r="G402" s="1">
        <v>45385</v>
      </c>
      <c r="H402" s="1">
        <v>45596</v>
      </c>
      <c r="I402" s="1">
        <v>47545</v>
      </c>
      <c r="J402">
        <v>1871600</v>
      </c>
      <c r="K402">
        <v>72</v>
      </c>
      <c r="L402">
        <v>66</v>
      </c>
      <c r="M402">
        <v>6</v>
      </c>
      <c r="N402">
        <v>12.23</v>
      </c>
      <c r="O402">
        <v>36814.379999999997</v>
      </c>
      <c r="P402" t="s">
        <v>72</v>
      </c>
      <c r="Q402">
        <v>1649021.92</v>
      </c>
      <c r="R402">
        <v>36814.379999999997</v>
      </c>
      <c r="S402">
        <v>16948.3</v>
      </c>
      <c r="T402" s="1">
        <v>45580</v>
      </c>
      <c r="U402" t="s">
        <v>143</v>
      </c>
      <c r="V402">
        <v>46</v>
      </c>
      <c r="W402">
        <v>6</v>
      </c>
      <c r="X402">
        <v>2</v>
      </c>
      <c r="Y402">
        <v>1</v>
      </c>
      <c r="Z402">
        <v>2</v>
      </c>
      <c r="AA402">
        <v>0</v>
      </c>
      <c r="AB402" t="s">
        <v>174</v>
      </c>
      <c r="AC402" t="s">
        <v>423</v>
      </c>
      <c r="AD402">
        <v>2024</v>
      </c>
      <c r="AE402" t="s">
        <v>119</v>
      </c>
      <c r="AF402" t="b">
        <v>1</v>
      </c>
      <c r="AG402">
        <v>2872000</v>
      </c>
      <c r="AH402">
        <v>2896826.08</v>
      </c>
      <c r="AI402">
        <v>0.65169999999999995</v>
      </c>
      <c r="AJ402">
        <v>0.61870000000000003</v>
      </c>
      <c r="AK402">
        <v>27</v>
      </c>
      <c r="AL402" t="s">
        <v>106</v>
      </c>
      <c r="AM402">
        <v>2064000</v>
      </c>
      <c r="AN402">
        <v>0.214</v>
      </c>
      <c r="AO402">
        <v>741</v>
      </c>
      <c r="AP402">
        <v>750</v>
      </c>
      <c r="AQ402" t="s">
        <v>127</v>
      </c>
      <c r="AR402" t="s">
        <v>153</v>
      </c>
      <c r="AS402">
        <v>2</v>
      </c>
      <c r="AT402">
        <v>8.9899999999999994E-2</v>
      </c>
      <c r="AU402">
        <v>0.47570000000000001</v>
      </c>
      <c r="AV402">
        <v>1658246.55</v>
      </c>
      <c r="AW402">
        <v>70915.63</v>
      </c>
      <c r="AX402" t="b">
        <v>0</v>
      </c>
      <c r="AY402" t="b">
        <v>0</v>
      </c>
      <c r="AZ402" t="s">
        <v>80</v>
      </c>
      <c r="BA402">
        <v>0</v>
      </c>
      <c r="BB402">
        <v>0</v>
      </c>
      <c r="BC402">
        <v>0</v>
      </c>
      <c r="BD402">
        <v>0</v>
      </c>
      <c r="BE402" t="s">
        <v>81</v>
      </c>
      <c r="BF402" t="b">
        <v>1</v>
      </c>
    </row>
    <row r="403" spans="1:58" x14ac:dyDescent="0.3">
      <c r="A403" t="s">
        <v>982</v>
      </c>
      <c r="B403" t="s">
        <v>67</v>
      </c>
      <c r="C403" t="s">
        <v>983</v>
      </c>
      <c r="D403" t="s">
        <v>69</v>
      </c>
      <c r="E403" t="s">
        <v>70</v>
      </c>
      <c r="F403" t="s">
        <v>124</v>
      </c>
      <c r="G403" s="1">
        <v>45558</v>
      </c>
      <c r="H403" s="1">
        <v>45596</v>
      </c>
      <c r="I403" s="1">
        <v>47358</v>
      </c>
      <c r="J403">
        <v>1514200</v>
      </c>
      <c r="K403">
        <v>60</v>
      </c>
      <c r="L403">
        <v>59</v>
      </c>
      <c r="M403">
        <v>1</v>
      </c>
      <c r="N403">
        <v>11.34</v>
      </c>
      <c r="O403">
        <v>33179.71</v>
      </c>
      <c r="P403" t="s">
        <v>72</v>
      </c>
      <c r="Q403">
        <v>1428279.26</v>
      </c>
      <c r="R403">
        <v>33179.71</v>
      </c>
      <c r="S403">
        <v>33318.949999999997</v>
      </c>
      <c r="T403" s="1">
        <v>45590</v>
      </c>
      <c r="U403" t="s">
        <v>73</v>
      </c>
      <c r="V403">
        <v>0</v>
      </c>
      <c r="W403">
        <v>1</v>
      </c>
      <c r="X403">
        <v>1</v>
      </c>
      <c r="Y403">
        <v>0</v>
      </c>
      <c r="Z403">
        <v>0</v>
      </c>
      <c r="AA403">
        <v>0</v>
      </c>
      <c r="AB403" t="s">
        <v>208</v>
      </c>
      <c r="AC403" t="s">
        <v>405</v>
      </c>
      <c r="AD403">
        <v>2024</v>
      </c>
      <c r="AE403" t="s">
        <v>119</v>
      </c>
      <c r="AF403" t="b">
        <v>1</v>
      </c>
      <c r="AG403">
        <v>2121000</v>
      </c>
      <c r="AH403">
        <v>2284797.1800000002</v>
      </c>
      <c r="AI403">
        <v>0.71389999999999998</v>
      </c>
      <c r="AJ403">
        <v>0.68159999999999998</v>
      </c>
      <c r="AK403">
        <v>47</v>
      </c>
      <c r="AL403" t="s">
        <v>77</v>
      </c>
      <c r="AM403">
        <v>3012000</v>
      </c>
      <c r="AN403">
        <v>0.13220000000000001</v>
      </c>
      <c r="AO403">
        <v>841</v>
      </c>
      <c r="AP403">
        <v>843</v>
      </c>
      <c r="AQ403" t="s">
        <v>145</v>
      </c>
      <c r="AR403" t="s">
        <v>176</v>
      </c>
      <c r="AS403">
        <v>1</v>
      </c>
      <c r="AT403">
        <v>1.5699999999999999E-2</v>
      </c>
      <c r="AU403">
        <v>0.37169999999999997</v>
      </c>
      <c r="AV403">
        <v>1496130.42</v>
      </c>
      <c r="AW403">
        <v>8730.9500000000007</v>
      </c>
      <c r="AX403" t="b">
        <v>0</v>
      </c>
      <c r="AY403" t="b">
        <v>1</v>
      </c>
      <c r="AZ403" t="s">
        <v>290</v>
      </c>
      <c r="BA403">
        <v>0</v>
      </c>
      <c r="BB403">
        <v>0</v>
      </c>
      <c r="BC403">
        <v>0</v>
      </c>
      <c r="BD403">
        <v>0</v>
      </c>
      <c r="BE403" t="s">
        <v>81</v>
      </c>
      <c r="BF403" t="b">
        <v>1</v>
      </c>
    </row>
    <row r="404" spans="1:58" x14ac:dyDescent="0.3">
      <c r="A404" t="s">
        <v>984</v>
      </c>
      <c r="B404" t="s">
        <v>67</v>
      </c>
      <c r="C404" t="s">
        <v>985</v>
      </c>
      <c r="D404" t="s">
        <v>69</v>
      </c>
      <c r="E404" t="s">
        <v>70</v>
      </c>
      <c r="F404" t="s">
        <v>124</v>
      </c>
      <c r="G404" s="1">
        <v>44588</v>
      </c>
      <c r="H404" s="1">
        <v>45596</v>
      </c>
      <c r="I404" s="1">
        <v>46748</v>
      </c>
      <c r="J404">
        <v>393700</v>
      </c>
      <c r="K404">
        <v>72</v>
      </c>
      <c r="L404">
        <v>39</v>
      </c>
      <c r="M404">
        <v>33</v>
      </c>
      <c r="N404">
        <v>14.16</v>
      </c>
      <c r="O404">
        <v>8146.25</v>
      </c>
      <c r="P404" t="s">
        <v>139</v>
      </c>
      <c r="Q404">
        <v>205425.1</v>
      </c>
      <c r="R404">
        <v>8146.25</v>
      </c>
      <c r="S404">
        <v>8366.0300000000007</v>
      </c>
      <c r="T404" s="1">
        <v>45569</v>
      </c>
      <c r="U404" t="s">
        <v>73</v>
      </c>
      <c r="V404">
        <v>0</v>
      </c>
      <c r="W404">
        <v>33</v>
      </c>
      <c r="X404">
        <v>33</v>
      </c>
      <c r="Y404">
        <v>0</v>
      </c>
      <c r="Z404">
        <v>0</v>
      </c>
      <c r="AA404">
        <v>0</v>
      </c>
      <c r="AB404" t="s">
        <v>117</v>
      </c>
      <c r="AC404" t="s">
        <v>257</v>
      </c>
      <c r="AD404">
        <v>2021</v>
      </c>
      <c r="AE404" t="s">
        <v>76</v>
      </c>
      <c r="AF404" t="b">
        <v>0</v>
      </c>
      <c r="AG404">
        <v>630000</v>
      </c>
      <c r="AH404">
        <v>394872.54</v>
      </c>
      <c r="AI404">
        <v>0.625</v>
      </c>
      <c r="AJ404">
        <v>0.53990000000000005</v>
      </c>
      <c r="AK404">
        <v>49</v>
      </c>
      <c r="AL404" t="s">
        <v>132</v>
      </c>
      <c r="AM404">
        <v>1181000</v>
      </c>
      <c r="AN404">
        <v>8.2799999999999999E-2</v>
      </c>
      <c r="AO404">
        <v>749</v>
      </c>
      <c r="AP404">
        <v>746</v>
      </c>
      <c r="AQ404" t="s">
        <v>100</v>
      </c>
      <c r="AR404" t="s">
        <v>101</v>
      </c>
      <c r="AS404">
        <v>1</v>
      </c>
      <c r="AT404">
        <v>1.78E-2</v>
      </c>
      <c r="AU404">
        <v>0.35930000000000001</v>
      </c>
      <c r="AV404">
        <v>212621.46</v>
      </c>
      <c r="AW404">
        <v>1359.83</v>
      </c>
      <c r="AX404" t="b">
        <v>0</v>
      </c>
      <c r="AY404" t="b">
        <v>0</v>
      </c>
      <c r="AZ404" t="s">
        <v>80</v>
      </c>
      <c r="BA404">
        <v>0</v>
      </c>
      <c r="BB404">
        <v>0</v>
      </c>
      <c r="BC404">
        <v>0</v>
      </c>
      <c r="BD404">
        <v>0</v>
      </c>
      <c r="BE404" t="s">
        <v>108</v>
      </c>
      <c r="BF404" t="b">
        <v>1</v>
      </c>
    </row>
    <row r="405" spans="1:58" x14ac:dyDescent="0.3">
      <c r="A405" t="s">
        <v>986</v>
      </c>
      <c r="B405" t="s">
        <v>67</v>
      </c>
      <c r="C405" t="s">
        <v>987</v>
      </c>
      <c r="D405" t="s">
        <v>69</v>
      </c>
      <c r="E405" t="s">
        <v>70</v>
      </c>
      <c r="F405" t="s">
        <v>71</v>
      </c>
      <c r="G405" s="1">
        <v>45467</v>
      </c>
      <c r="H405" s="1">
        <v>45596</v>
      </c>
      <c r="I405" s="1">
        <v>46547</v>
      </c>
      <c r="J405">
        <v>696600</v>
      </c>
      <c r="K405">
        <v>36</v>
      </c>
      <c r="L405">
        <v>32</v>
      </c>
      <c r="M405">
        <v>4</v>
      </c>
      <c r="N405">
        <v>10.82</v>
      </c>
      <c r="O405">
        <v>22746.46</v>
      </c>
      <c r="P405" t="s">
        <v>72</v>
      </c>
      <c r="Q405">
        <v>607782.1</v>
      </c>
      <c r="R405">
        <v>22746.46</v>
      </c>
      <c r="S405">
        <v>22662.71</v>
      </c>
      <c r="T405" s="1">
        <v>45572</v>
      </c>
      <c r="U405" t="s">
        <v>73</v>
      </c>
      <c r="V405">
        <v>0</v>
      </c>
      <c r="W405">
        <v>4</v>
      </c>
      <c r="X405">
        <v>4</v>
      </c>
      <c r="Y405">
        <v>0</v>
      </c>
      <c r="Z405">
        <v>0</v>
      </c>
      <c r="AA405">
        <v>0</v>
      </c>
      <c r="AB405" t="s">
        <v>111</v>
      </c>
      <c r="AC405" t="s">
        <v>197</v>
      </c>
      <c r="AD405">
        <v>2024</v>
      </c>
      <c r="AE405" t="s">
        <v>166</v>
      </c>
      <c r="AF405" t="b">
        <v>1</v>
      </c>
      <c r="AG405">
        <v>904000</v>
      </c>
      <c r="AH405">
        <v>912469.56</v>
      </c>
      <c r="AI405">
        <v>0.77059999999999995</v>
      </c>
      <c r="AJ405">
        <v>0.70620000000000005</v>
      </c>
      <c r="AK405">
        <v>37</v>
      </c>
      <c r="AL405" t="s">
        <v>132</v>
      </c>
      <c r="AM405">
        <v>2348000</v>
      </c>
      <c r="AN405">
        <v>0.1163</v>
      </c>
      <c r="AO405">
        <v>711</v>
      </c>
      <c r="AP405">
        <v>738</v>
      </c>
      <c r="AQ405" t="s">
        <v>127</v>
      </c>
      <c r="AR405" t="s">
        <v>128</v>
      </c>
      <c r="AS405">
        <v>1</v>
      </c>
      <c r="AT405">
        <v>2.1100000000000001E-2</v>
      </c>
      <c r="AU405">
        <v>0.55259999999999998</v>
      </c>
      <c r="AV405">
        <v>608640.16</v>
      </c>
      <c r="AW405">
        <v>7096.66</v>
      </c>
      <c r="AX405" t="b">
        <v>0</v>
      </c>
      <c r="AY405" t="b">
        <v>0</v>
      </c>
      <c r="AZ405" t="s">
        <v>80</v>
      </c>
      <c r="BA405">
        <v>0</v>
      </c>
      <c r="BB405">
        <v>0</v>
      </c>
      <c r="BC405">
        <v>0</v>
      </c>
      <c r="BD405">
        <v>0</v>
      </c>
      <c r="BE405" t="s">
        <v>81</v>
      </c>
      <c r="BF405" t="b">
        <v>1</v>
      </c>
    </row>
    <row r="406" spans="1:58" x14ac:dyDescent="0.3">
      <c r="A406" t="s">
        <v>988</v>
      </c>
      <c r="B406" t="s">
        <v>67</v>
      </c>
      <c r="C406" t="s">
        <v>989</v>
      </c>
      <c r="D406" t="s">
        <v>95</v>
      </c>
      <c r="E406" t="s">
        <v>96</v>
      </c>
      <c r="F406" t="s">
        <v>71</v>
      </c>
      <c r="G406" s="1">
        <v>45294</v>
      </c>
      <c r="H406" s="1">
        <v>45596</v>
      </c>
      <c r="I406" s="1">
        <v>47094</v>
      </c>
      <c r="J406">
        <v>1135600</v>
      </c>
      <c r="K406">
        <v>60</v>
      </c>
      <c r="L406">
        <v>51</v>
      </c>
      <c r="M406">
        <v>9</v>
      </c>
      <c r="N406">
        <v>13.47</v>
      </c>
      <c r="O406">
        <v>26112.43</v>
      </c>
      <c r="P406" t="s">
        <v>72</v>
      </c>
      <c r="Q406">
        <v>874498.99</v>
      </c>
      <c r="R406">
        <v>26112.43</v>
      </c>
      <c r="S406">
        <v>26917.79</v>
      </c>
      <c r="T406" s="1">
        <v>45589</v>
      </c>
      <c r="U406" t="s">
        <v>73</v>
      </c>
      <c r="V406">
        <v>0</v>
      </c>
      <c r="W406">
        <v>9</v>
      </c>
      <c r="X406">
        <v>9</v>
      </c>
      <c r="Y406">
        <v>0</v>
      </c>
      <c r="Z406">
        <v>0</v>
      </c>
      <c r="AA406">
        <v>0</v>
      </c>
      <c r="AB406" t="s">
        <v>117</v>
      </c>
      <c r="AC406" t="s">
        <v>621</v>
      </c>
      <c r="AD406">
        <v>2024</v>
      </c>
      <c r="AE406" t="s">
        <v>90</v>
      </c>
      <c r="AF406" t="b">
        <v>1</v>
      </c>
      <c r="AG406">
        <v>1240000</v>
      </c>
      <c r="AH406">
        <v>1017933.77</v>
      </c>
      <c r="AI406">
        <v>0.91579999999999995</v>
      </c>
      <c r="AJ406">
        <v>0.79059999999999997</v>
      </c>
      <c r="AK406">
        <v>43</v>
      </c>
      <c r="AL406" t="s">
        <v>120</v>
      </c>
      <c r="AM406">
        <v>815000</v>
      </c>
      <c r="AN406">
        <v>0.38450000000000001</v>
      </c>
      <c r="AO406">
        <v>689</v>
      </c>
      <c r="AP406">
        <v>648</v>
      </c>
      <c r="AQ406" t="s">
        <v>100</v>
      </c>
      <c r="AR406" t="s">
        <v>107</v>
      </c>
      <c r="AS406">
        <v>1</v>
      </c>
      <c r="AT406">
        <v>1.67E-2</v>
      </c>
      <c r="AU406">
        <v>0.60970000000000002</v>
      </c>
      <c r="AV406">
        <v>900015.55</v>
      </c>
      <c r="AW406">
        <v>9163.9500000000007</v>
      </c>
      <c r="AX406" t="b">
        <v>0</v>
      </c>
      <c r="AY406" t="b">
        <v>0</v>
      </c>
      <c r="AZ406" t="s">
        <v>80</v>
      </c>
      <c r="BA406">
        <v>0</v>
      </c>
      <c r="BB406">
        <v>0</v>
      </c>
      <c r="BC406">
        <v>0</v>
      </c>
      <c r="BD406">
        <v>0</v>
      </c>
      <c r="BE406" t="s">
        <v>108</v>
      </c>
      <c r="BF406" t="b">
        <v>0</v>
      </c>
    </row>
    <row r="407" spans="1:58" x14ac:dyDescent="0.3">
      <c r="A407" t="s">
        <v>990</v>
      </c>
      <c r="B407" t="s">
        <v>67</v>
      </c>
      <c r="C407" t="s">
        <v>991</v>
      </c>
      <c r="D407" t="s">
        <v>69</v>
      </c>
      <c r="E407" t="s">
        <v>70</v>
      </c>
      <c r="F407" t="s">
        <v>71</v>
      </c>
      <c r="G407" s="1">
        <v>44482</v>
      </c>
      <c r="H407" s="1">
        <v>45596</v>
      </c>
      <c r="I407" s="1">
        <v>46282</v>
      </c>
      <c r="J407">
        <v>993600</v>
      </c>
      <c r="K407">
        <v>60</v>
      </c>
      <c r="L407">
        <v>24</v>
      </c>
      <c r="M407">
        <v>36</v>
      </c>
      <c r="N407">
        <v>13.06</v>
      </c>
      <c r="O407">
        <v>22637.98</v>
      </c>
      <c r="P407" t="s">
        <v>72</v>
      </c>
      <c r="Q407">
        <v>383329.3</v>
      </c>
      <c r="R407">
        <v>22637.98</v>
      </c>
      <c r="S407">
        <v>22351.19</v>
      </c>
      <c r="T407" s="1">
        <v>45580</v>
      </c>
      <c r="U407" t="s">
        <v>73</v>
      </c>
      <c r="V407">
        <v>0</v>
      </c>
      <c r="W407">
        <v>36</v>
      </c>
      <c r="X407">
        <v>36</v>
      </c>
      <c r="Y407">
        <v>0</v>
      </c>
      <c r="Z407">
        <v>0</v>
      </c>
      <c r="AA407">
        <v>0</v>
      </c>
      <c r="AB407" t="s">
        <v>208</v>
      </c>
      <c r="AC407" t="s">
        <v>405</v>
      </c>
      <c r="AD407">
        <v>2021</v>
      </c>
      <c r="AE407" t="s">
        <v>90</v>
      </c>
      <c r="AF407" t="b">
        <v>1</v>
      </c>
      <c r="AG407">
        <v>1319000</v>
      </c>
      <c r="AH407">
        <v>745877.54</v>
      </c>
      <c r="AI407">
        <v>0.75329999999999997</v>
      </c>
      <c r="AJ407">
        <v>0.51170000000000004</v>
      </c>
      <c r="AK407">
        <v>58</v>
      </c>
      <c r="AL407" t="s">
        <v>106</v>
      </c>
      <c r="AM407">
        <v>1068000</v>
      </c>
      <c r="AN407">
        <v>0.25440000000000002</v>
      </c>
      <c r="AO407">
        <v>771</v>
      </c>
      <c r="AP407">
        <v>725</v>
      </c>
      <c r="AQ407" t="s">
        <v>91</v>
      </c>
      <c r="AR407" t="s">
        <v>192</v>
      </c>
      <c r="AS407">
        <v>1</v>
      </c>
      <c r="AT407">
        <v>1.55E-2</v>
      </c>
      <c r="AU407">
        <v>0.39860000000000001</v>
      </c>
      <c r="AV407">
        <v>394262.25</v>
      </c>
      <c r="AW407">
        <v>2435.87</v>
      </c>
      <c r="AX407" t="b">
        <v>0</v>
      </c>
      <c r="AY407" t="b">
        <v>0</v>
      </c>
      <c r="AZ407" t="s">
        <v>80</v>
      </c>
      <c r="BA407">
        <v>0</v>
      </c>
      <c r="BB407">
        <v>0</v>
      </c>
      <c r="BC407">
        <v>0</v>
      </c>
      <c r="BD407">
        <v>0</v>
      </c>
      <c r="BE407" t="s">
        <v>108</v>
      </c>
      <c r="BF407" t="b">
        <v>1</v>
      </c>
    </row>
    <row r="408" spans="1:58" x14ac:dyDescent="0.3">
      <c r="A408" t="s">
        <v>992</v>
      </c>
      <c r="B408" t="s">
        <v>67</v>
      </c>
      <c r="C408" t="s">
        <v>993</v>
      </c>
      <c r="D408" t="s">
        <v>84</v>
      </c>
      <c r="E408" t="s">
        <v>85</v>
      </c>
      <c r="F408" t="s">
        <v>124</v>
      </c>
      <c r="G408" s="1">
        <v>45541</v>
      </c>
      <c r="H408" s="1">
        <v>45596</v>
      </c>
      <c r="I408" s="1">
        <v>47341</v>
      </c>
      <c r="J408">
        <v>499100</v>
      </c>
      <c r="K408">
        <v>60</v>
      </c>
      <c r="L408">
        <v>59</v>
      </c>
      <c r="M408">
        <v>1</v>
      </c>
      <c r="N408">
        <v>8.43</v>
      </c>
      <c r="O408">
        <v>10222.969999999999</v>
      </c>
      <c r="P408" t="s">
        <v>72</v>
      </c>
      <c r="Q408">
        <v>493344.08</v>
      </c>
      <c r="R408">
        <v>10222.969999999999</v>
      </c>
      <c r="S408">
        <v>9861.19</v>
      </c>
      <c r="T408" s="1">
        <v>45588</v>
      </c>
      <c r="U408" t="s">
        <v>73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0</v>
      </c>
      <c r="AB408" t="s">
        <v>208</v>
      </c>
      <c r="AC408" t="s">
        <v>364</v>
      </c>
      <c r="AD408">
        <v>2024</v>
      </c>
      <c r="AE408" t="s">
        <v>90</v>
      </c>
      <c r="AF408" t="b">
        <v>1</v>
      </c>
      <c r="AG408">
        <v>744000</v>
      </c>
      <c r="AH408">
        <v>787680.46</v>
      </c>
      <c r="AI408">
        <v>0.67090000000000005</v>
      </c>
      <c r="AJ408">
        <v>0.67120000000000002</v>
      </c>
      <c r="AK408">
        <v>45</v>
      </c>
      <c r="AL408" t="s">
        <v>132</v>
      </c>
      <c r="AM408">
        <v>432000</v>
      </c>
      <c r="AN408">
        <v>0.28399999999999997</v>
      </c>
      <c r="AO408">
        <v>784</v>
      </c>
      <c r="AP408">
        <v>768</v>
      </c>
      <c r="AQ408" t="s">
        <v>78</v>
      </c>
      <c r="AR408" t="s">
        <v>79</v>
      </c>
      <c r="AS408">
        <v>1</v>
      </c>
      <c r="AT408">
        <v>1.9699999999999999E-2</v>
      </c>
      <c r="AU408">
        <v>0.41420000000000001</v>
      </c>
      <c r="AV408">
        <v>497597.15</v>
      </c>
      <c r="AW408">
        <v>4060.26</v>
      </c>
      <c r="AX408" t="b">
        <v>0</v>
      </c>
      <c r="AY408" t="b">
        <v>0</v>
      </c>
      <c r="AZ408" t="s">
        <v>80</v>
      </c>
      <c r="BA408">
        <v>0</v>
      </c>
      <c r="BB408">
        <v>0</v>
      </c>
      <c r="BC408">
        <v>0</v>
      </c>
      <c r="BD408">
        <v>0</v>
      </c>
      <c r="BE408" t="s">
        <v>81</v>
      </c>
      <c r="BF408" t="b">
        <v>1</v>
      </c>
    </row>
    <row r="409" spans="1:58" x14ac:dyDescent="0.3">
      <c r="A409" t="s">
        <v>994</v>
      </c>
      <c r="B409" t="s">
        <v>67</v>
      </c>
      <c r="C409" t="s">
        <v>995</v>
      </c>
      <c r="D409" t="s">
        <v>69</v>
      </c>
      <c r="E409" t="s">
        <v>70</v>
      </c>
      <c r="F409" t="s">
        <v>71</v>
      </c>
      <c r="G409" s="1">
        <v>44494</v>
      </c>
      <c r="H409" s="1">
        <v>45596</v>
      </c>
      <c r="I409" s="1">
        <v>46654</v>
      </c>
      <c r="J409">
        <v>570500</v>
      </c>
      <c r="K409">
        <v>72</v>
      </c>
      <c r="L409">
        <v>36</v>
      </c>
      <c r="M409">
        <v>36</v>
      </c>
      <c r="N409">
        <v>13.38</v>
      </c>
      <c r="O409">
        <v>11567.01</v>
      </c>
      <c r="P409" t="s">
        <v>72</v>
      </c>
      <c r="Q409">
        <v>272202.2</v>
      </c>
      <c r="R409">
        <v>11567.01</v>
      </c>
      <c r="S409">
        <v>11723.56</v>
      </c>
      <c r="T409" s="1">
        <v>45581</v>
      </c>
      <c r="U409" t="s">
        <v>73</v>
      </c>
      <c r="V409">
        <v>0</v>
      </c>
      <c r="W409">
        <v>36</v>
      </c>
      <c r="X409">
        <v>36</v>
      </c>
      <c r="Y409">
        <v>0</v>
      </c>
      <c r="Z409">
        <v>0</v>
      </c>
      <c r="AA409">
        <v>0</v>
      </c>
      <c r="AB409" t="s">
        <v>74</v>
      </c>
      <c r="AC409" t="s">
        <v>188</v>
      </c>
      <c r="AD409">
        <v>2021</v>
      </c>
      <c r="AE409" t="s">
        <v>99</v>
      </c>
      <c r="AF409" t="b">
        <v>1</v>
      </c>
      <c r="AG409">
        <v>831000</v>
      </c>
      <c r="AH409">
        <v>481351.76</v>
      </c>
      <c r="AI409">
        <v>0.6865</v>
      </c>
      <c r="AJ409">
        <v>0.57669999999999999</v>
      </c>
      <c r="AK409">
        <v>41</v>
      </c>
      <c r="AL409" t="s">
        <v>120</v>
      </c>
      <c r="AM409">
        <v>580000</v>
      </c>
      <c r="AN409">
        <v>0.23930000000000001</v>
      </c>
      <c r="AO409">
        <v>760</v>
      </c>
      <c r="AP409">
        <v>715</v>
      </c>
      <c r="AQ409" t="s">
        <v>91</v>
      </c>
      <c r="AR409" t="s">
        <v>192</v>
      </c>
      <c r="AS409">
        <v>1</v>
      </c>
      <c r="AT409">
        <v>1.9800000000000002E-2</v>
      </c>
      <c r="AU409">
        <v>0.63480000000000003</v>
      </c>
      <c r="AV409">
        <v>279137.19</v>
      </c>
      <c r="AW409">
        <v>3508.49</v>
      </c>
      <c r="AX409" t="b">
        <v>0</v>
      </c>
      <c r="AY409" t="b">
        <v>0</v>
      </c>
      <c r="AZ409" t="s">
        <v>80</v>
      </c>
      <c r="BA409">
        <v>0</v>
      </c>
      <c r="BB409">
        <v>0</v>
      </c>
      <c r="BC409">
        <v>0</v>
      </c>
      <c r="BD409">
        <v>0</v>
      </c>
      <c r="BE409" t="s">
        <v>108</v>
      </c>
      <c r="BF409" t="b">
        <v>0</v>
      </c>
    </row>
    <row r="410" spans="1:58" x14ac:dyDescent="0.3">
      <c r="A410" t="s">
        <v>996</v>
      </c>
      <c r="B410" t="s">
        <v>67</v>
      </c>
      <c r="C410" t="s">
        <v>997</v>
      </c>
      <c r="D410" t="s">
        <v>95</v>
      </c>
      <c r="E410" t="s">
        <v>96</v>
      </c>
      <c r="F410" t="s">
        <v>86</v>
      </c>
      <c r="G410" s="1">
        <v>44786</v>
      </c>
      <c r="H410" s="1">
        <v>45596</v>
      </c>
      <c r="I410" s="1">
        <v>46226</v>
      </c>
      <c r="J410">
        <v>561600</v>
      </c>
      <c r="K410">
        <v>48</v>
      </c>
      <c r="L410">
        <v>22</v>
      </c>
      <c r="M410">
        <v>26</v>
      </c>
      <c r="N410">
        <v>12.91</v>
      </c>
      <c r="O410">
        <v>15041.25</v>
      </c>
      <c r="P410" t="s">
        <v>72</v>
      </c>
      <c r="Q410">
        <v>233202.41</v>
      </c>
      <c r="R410">
        <v>15041.25</v>
      </c>
      <c r="S410">
        <v>10525.89</v>
      </c>
      <c r="T410" s="1">
        <v>45564</v>
      </c>
      <c r="U410" t="s">
        <v>131</v>
      </c>
      <c r="V410">
        <v>76</v>
      </c>
      <c r="W410">
        <v>26</v>
      </c>
      <c r="X410">
        <v>20</v>
      </c>
      <c r="Y410">
        <v>1</v>
      </c>
      <c r="Z410">
        <v>1</v>
      </c>
      <c r="AA410">
        <v>1</v>
      </c>
      <c r="AB410" t="s">
        <v>164</v>
      </c>
      <c r="AC410" t="s">
        <v>279</v>
      </c>
      <c r="AD410">
        <v>2022</v>
      </c>
      <c r="AE410" t="s">
        <v>99</v>
      </c>
      <c r="AF410" t="b">
        <v>1</v>
      </c>
      <c r="AG410">
        <v>705000</v>
      </c>
      <c r="AH410">
        <v>458638.52</v>
      </c>
      <c r="AI410">
        <v>0.79659999999999997</v>
      </c>
      <c r="AJ410">
        <v>0.48080000000000001</v>
      </c>
      <c r="AK410">
        <v>49</v>
      </c>
      <c r="AL410" t="s">
        <v>106</v>
      </c>
      <c r="AM410">
        <v>4150000</v>
      </c>
      <c r="AN410">
        <v>4.3499999999999997E-2</v>
      </c>
      <c r="AO410">
        <v>737</v>
      </c>
      <c r="AP410">
        <v>725</v>
      </c>
      <c r="AQ410" t="s">
        <v>78</v>
      </c>
      <c r="AR410" t="s">
        <v>133</v>
      </c>
      <c r="AS410">
        <v>2</v>
      </c>
      <c r="AT410">
        <v>0.12239999999999999</v>
      </c>
      <c r="AU410">
        <v>0.53490000000000004</v>
      </c>
      <c r="AV410">
        <v>233936.23</v>
      </c>
      <c r="AW410">
        <v>15316.22</v>
      </c>
      <c r="AX410" t="b">
        <v>0</v>
      </c>
      <c r="AY410" t="b">
        <v>0</v>
      </c>
      <c r="AZ410" t="s">
        <v>80</v>
      </c>
      <c r="BA410">
        <v>0</v>
      </c>
      <c r="BB410">
        <v>0</v>
      </c>
      <c r="BC410">
        <v>0</v>
      </c>
      <c r="BD410">
        <v>0</v>
      </c>
      <c r="BE410" t="s">
        <v>108</v>
      </c>
      <c r="BF410" t="b">
        <v>0</v>
      </c>
    </row>
    <row r="411" spans="1:58" x14ac:dyDescent="0.3">
      <c r="A411" t="s">
        <v>998</v>
      </c>
      <c r="B411" t="s">
        <v>67</v>
      </c>
      <c r="C411" t="s">
        <v>999</v>
      </c>
      <c r="D411" t="s">
        <v>84</v>
      </c>
      <c r="E411" t="s">
        <v>85</v>
      </c>
      <c r="F411" t="s">
        <v>86</v>
      </c>
      <c r="G411" s="1">
        <v>44860</v>
      </c>
      <c r="H411" s="1">
        <v>45596</v>
      </c>
      <c r="I411" s="1">
        <v>47020</v>
      </c>
      <c r="J411">
        <v>945300</v>
      </c>
      <c r="K411">
        <v>72</v>
      </c>
      <c r="L411">
        <v>48</v>
      </c>
      <c r="M411">
        <v>24</v>
      </c>
      <c r="N411">
        <v>9.4499999999999993</v>
      </c>
      <c r="O411">
        <v>17251.43</v>
      </c>
      <c r="P411" t="s">
        <v>72</v>
      </c>
      <c r="Q411">
        <v>623686.30000000005</v>
      </c>
      <c r="R411">
        <v>17251.43</v>
      </c>
      <c r="S411">
        <v>17785.5</v>
      </c>
      <c r="T411" s="1">
        <v>45573</v>
      </c>
      <c r="U411" t="s">
        <v>73</v>
      </c>
      <c r="V411">
        <v>0</v>
      </c>
      <c r="W411">
        <v>24</v>
      </c>
      <c r="X411">
        <v>24</v>
      </c>
      <c r="Y411">
        <v>0</v>
      </c>
      <c r="Z411">
        <v>0</v>
      </c>
      <c r="AA411">
        <v>0</v>
      </c>
      <c r="AB411" t="s">
        <v>125</v>
      </c>
      <c r="AC411" t="s">
        <v>353</v>
      </c>
      <c r="AD411">
        <v>2022</v>
      </c>
      <c r="AE411" t="s">
        <v>119</v>
      </c>
      <c r="AF411" t="b">
        <v>1</v>
      </c>
      <c r="AG411">
        <v>1318000</v>
      </c>
      <c r="AH411">
        <v>890675.74</v>
      </c>
      <c r="AI411">
        <v>0.71719999999999995</v>
      </c>
      <c r="AJ411">
        <v>0.66459999999999997</v>
      </c>
      <c r="AK411">
        <v>36</v>
      </c>
      <c r="AL411" t="s">
        <v>77</v>
      </c>
      <c r="AM411">
        <v>4071000</v>
      </c>
      <c r="AN411">
        <v>5.0900000000000001E-2</v>
      </c>
      <c r="AO411">
        <v>826</v>
      </c>
      <c r="AP411">
        <v>813</v>
      </c>
      <c r="AQ411" t="s">
        <v>100</v>
      </c>
      <c r="AR411" t="s">
        <v>101</v>
      </c>
      <c r="AS411">
        <v>1</v>
      </c>
      <c r="AT411">
        <v>2.1700000000000001E-2</v>
      </c>
      <c r="AU411">
        <v>0.41170000000000001</v>
      </c>
      <c r="AV411">
        <v>648320.18999999994</v>
      </c>
      <c r="AW411">
        <v>5792.02</v>
      </c>
      <c r="AX411" t="b">
        <v>0</v>
      </c>
      <c r="AY411" t="b">
        <v>0</v>
      </c>
      <c r="AZ411" t="s">
        <v>80</v>
      </c>
      <c r="BA411">
        <v>0</v>
      </c>
      <c r="BB411">
        <v>0</v>
      </c>
      <c r="BC411">
        <v>0</v>
      </c>
      <c r="BD411">
        <v>0</v>
      </c>
      <c r="BE411" t="s">
        <v>108</v>
      </c>
      <c r="BF411" t="b">
        <v>1</v>
      </c>
    </row>
    <row r="412" spans="1:58" x14ac:dyDescent="0.3">
      <c r="A412" t="s">
        <v>1000</v>
      </c>
      <c r="B412" t="s">
        <v>67</v>
      </c>
      <c r="C412" t="s">
        <v>1001</v>
      </c>
      <c r="D412" t="s">
        <v>95</v>
      </c>
      <c r="E412" t="s">
        <v>96</v>
      </c>
      <c r="F412" t="s">
        <v>124</v>
      </c>
      <c r="G412" s="1">
        <v>45188</v>
      </c>
      <c r="H412" s="1">
        <v>45596</v>
      </c>
      <c r="I412" s="1">
        <v>46988</v>
      </c>
      <c r="J412">
        <v>970500</v>
      </c>
      <c r="K412">
        <v>60</v>
      </c>
      <c r="L412">
        <v>47</v>
      </c>
      <c r="M412">
        <v>13</v>
      </c>
      <c r="N412">
        <v>8.3699999999999992</v>
      </c>
      <c r="O412">
        <v>19850.54</v>
      </c>
      <c r="P412" t="s">
        <v>72</v>
      </c>
      <c r="Q412">
        <v>727143.28</v>
      </c>
      <c r="R412">
        <v>19850.54</v>
      </c>
      <c r="S412">
        <v>18939.47</v>
      </c>
      <c r="T412" s="1">
        <v>45592</v>
      </c>
      <c r="U412" t="s">
        <v>73</v>
      </c>
      <c r="V412">
        <v>0</v>
      </c>
      <c r="W412">
        <v>13</v>
      </c>
      <c r="X412">
        <v>13</v>
      </c>
      <c r="Y412">
        <v>0</v>
      </c>
      <c r="Z412">
        <v>0</v>
      </c>
      <c r="AA412">
        <v>0</v>
      </c>
      <c r="AB412" t="s">
        <v>88</v>
      </c>
      <c r="AC412" t="s">
        <v>181</v>
      </c>
      <c r="AD412">
        <v>2023</v>
      </c>
      <c r="AE412" t="s">
        <v>119</v>
      </c>
      <c r="AF412" t="b">
        <v>1</v>
      </c>
      <c r="AG412">
        <v>1195000</v>
      </c>
      <c r="AH412">
        <v>963669.15</v>
      </c>
      <c r="AI412">
        <v>0.81210000000000004</v>
      </c>
      <c r="AJ412">
        <v>0.72099999999999997</v>
      </c>
      <c r="AK412">
        <v>48</v>
      </c>
      <c r="AL412" t="s">
        <v>132</v>
      </c>
      <c r="AM412">
        <v>2511000</v>
      </c>
      <c r="AN412">
        <v>9.4899999999999998E-2</v>
      </c>
      <c r="AO412">
        <v>715</v>
      </c>
      <c r="AP412">
        <v>728</v>
      </c>
      <c r="AQ412" t="s">
        <v>127</v>
      </c>
      <c r="AR412" t="s">
        <v>185</v>
      </c>
      <c r="AS412">
        <v>1</v>
      </c>
      <c r="AT412">
        <v>1.78E-2</v>
      </c>
      <c r="AU412">
        <v>0.39190000000000003</v>
      </c>
      <c r="AV412">
        <v>731612.18</v>
      </c>
      <c r="AW412">
        <v>5103.59</v>
      </c>
      <c r="AX412" t="b">
        <v>0</v>
      </c>
      <c r="AY412" t="b">
        <v>0</v>
      </c>
      <c r="AZ412" t="s">
        <v>80</v>
      </c>
      <c r="BA412">
        <v>0</v>
      </c>
      <c r="BB412">
        <v>0</v>
      </c>
      <c r="BC412">
        <v>0</v>
      </c>
      <c r="BD412">
        <v>0</v>
      </c>
      <c r="BE412" t="s">
        <v>108</v>
      </c>
      <c r="BF412" t="b">
        <v>0</v>
      </c>
    </row>
    <row r="413" spans="1:58" x14ac:dyDescent="0.3">
      <c r="A413" t="s">
        <v>1002</v>
      </c>
      <c r="B413" t="s">
        <v>67</v>
      </c>
      <c r="C413" t="s">
        <v>1003</v>
      </c>
      <c r="D413" t="s">
        <v>84</v>
      </c>
      <c r="E413" t="s">
        <v>85</v>
      </c>
      <c r="F413" t="s">
        <v>115</v>
      </c>
      <c r="G413" s="1">
        <v>45320</v>
      </c>
      <c r="H413" s="1">
        <v>45596</v>
      </c>
      <c r="I413" s="1">
        <v>46400</v>
      </c>
      <c r="J413">
        <v>828600</v>
      </c>
      <c r="K413">
        <v>36</v>
      </c>
      <c r="L413">
        <v>27</v>
      </c>
      <c r="M413">
        <v>9</v>
      </c>
      <c r="N413">
        <v>9.86</v>
      </c>
      <c r="O413">
        <v>26682.16</v>
      </c>
      <c r="P413" t="s">
        <v>116</v>
      </c>
      <c r="Q413">
        <v>617506.28</v>
      </c>
      <c r="R413">
        <v>26682.16</v>
      </c>
      <c r="S413">
        <v>2658.89</v>
      </c>
      <c r="T413" s="1">
        <v>45581</v>
      </c>
      <c r="U413" t="s">
        <v>131</v>
      </c>
      <c r="V413">
        <v>67</v>
      </c>
      <c r="W413">
        <v>9</v>
      </c>
      <c r="X413">
        <v>5</v>
      </c>
      <c r="Y413">
        <v>1</v>
      </c>
      <c r="Z413">
        <v>0</v>
      </c>
      <c r="AA413">
        <v>1</v>
      </c>
      <c r="AB413" t="s">
        <v>97</v>
      </c>
      <c r="AC413" t="s">
        <v>152</v>
      </c>
      <c r="AD413">
        <v>2023</v>
      </c>
      <c r="AE413" t="s">
        <v>166</v>
      </c>
      <c r="AF413" t="b">
        <v>0</v>
      </c>
      <c r="AG413">
        <v>1038000</v>
      </c>
      <c r="AH413">
        <v>989853.61</v>
      </c>
      <c r="AI413">
        <v>0.79830000000000001</v>
      </c>
      <c r="AJ413">
        <v>0.66690000000000005</v>
      </c>
      <c r="AK413">
        <v>40</v>
      </c>
      <c r="AL413" t="s">
        <v>120</v>
      </c>
      <c r="AM413">
        <v>1431000</v>
      </c>
      <c r="AN413">
        <v>0.22370000000000001</v>
      </c>
      <c r="AO413">
        <v>706</v>
      </c>
      <c r="AP413">
        <v>735</v>
      </c>
      <c r="AQ413" t="s">
        <v>78</v>
      </c>
      <c r="AR413" t="s">
        <v>133</v>
      </c>
      <c r="AS413">
        <v>2</v>
      </c>
      <c r="AT413">
        <v>0.1527</v>
      </c>
      <c r="AU413">
        <v>0.37740000000000001</v>
      </c>
      <c r="AV413">
        <v>640368.09</v>
      </c>
      <c r="AW413">
        <v>36903.760000000002</v>
      </c>
      <c r="AX413" t="b">
        <v>0</v>
      </c>
      <c r="AY413" t="b">
        <v>0</v>
      </c>
      <c r="AZ413" t="s">
        <v>80</v>
      </c>
      <c r="BA413">
        <v>0</v>
      </c>
      <c r="BB413">
        <v>0</v>
      </c>
      <c r="BC413">
        <v>0</v>
      </c>
      <c r="BD413">
        <v>0</v>
      </c>
      <c r="BE413" t="s">
        <v>134</v>
      </c>
      <c r="BF413" t="b">
        <v>1</v>
      </c>
    </row>
    <row r="414" spans="1:58" x14ac:dyDescent="0.3">
      <c r="A414" t="s">
        <v>1004</v>
      </c>
      <c r="B414" t="s">
        <v>67</v>
      </c>
      <c r="C414" t="s">
        <v>1005</v>
      </c>
      <c r="D414" t="s">
        <v>84</v>
      </c>
      <c r="E414" t="s">
        <v>85</v>
      </c>
      <c r="F414" t="s">
        <v>86</v>
      </c>
      <c r="G414" s="1">
        <v>44649</v>
      </c>
      <c r="H414" s="1">
        <v>45596</v>
      </c>
      <c r="I414" s="1">
        <v>45729</v>
      </c>
      <c r="J414">
        <v>1315400</v>
      </c>
      <c r="K414">
        <v>36</v>
      </c>
      <c r="L414">
        <v>5</v>
      </c>
      <c r="M414">
        <v>31</v>
      </c>
      <c r="N414">
        <v>9.17</v>
      </c>
      <c r="O414">
        <v>41933.519999999997</v>
      </c>
      <c r="P414" t="s">
        <v>72</v>
      </c>
      <c r="Q414">
        <v>172879.03</v>
      </c>
      <c r="R414">
        <v>41933.519999999997</v>
      </c>
      <c r="S414">
        <v>41929.46</v>
      </c>
      <c r="T414" s="1">
        <v>45572</v>
      </c>
      <c r="U414" t="s">
        <v>73</v>
      </c>
      <c r="V414">
        <v>0</v>
      </c>
      <c r="W414">
        <v>31</v>
      </c>
      <c r="X414">
        <v>31</v>
      </c>
      <c r="Y414">
        <v>0</v>
      </c>
      <c r="Z414">
        <v>0</v>
      </c>
      <c r="AA414">
        <v>0</v>
      </c>
      <c r="AB414" t="s">
        <v>125</v>
      </c>
      <c r="AC414" t="s">
        <v>144</v>
      </c>
      <c r="AD414">
        <v>2022</v>
      </c>
      <c r="AE414" t="s">
        <v>76</v>
      </c>
      <c r="AF414" t="b">
        <v>1</v>
      </c>
      <c r="AG414">
        <v>1885000</v>
      </c>
      <c r="AH414">
        <v>1263855.3700000001</v>
      </c>
      <c r="AI414">
        <v>0.69779999999999998</v>
      </c>
      <c r="AJ414">
        <v>0.14599999999999999</v>
      </c>
      <c r="AK414">
        <v>62</v>
      </c>
      <c r="AL414" t="s">
        <v>120</v>
      </c>
      <c r="AM414">
        <v>2397000</v>
      </c>
      <c r="AN414">
        <v>0.2099</v>
      </c>
      <c r="AO414">
        <v>709</v>
      </c>
      <c r="AP414">
        <v>671</v>
      </c>
      <c r="AQ414" t="s">
        <v>145</v>
      </c>
      <c r="AR414" t="s">
        <v>182</v>
      </c>
      <c r="AS414">
        <v>1</v>
      </c>
      <c r="AT414">
        <v>1.6500000000000001E-2</v>
      </c>
      <c r="AU414">
        <v>0.55200000000000005</v>
      </c>
      <c r="AV414">
        <v>176653.41</v>
      </c>
      <c r="AW414">
        <v>1608.96</v>
      </c>
      <c r="AX414" t="b">
        <v>0</v>
      </c>
      <c r="AY414" t="b">
        <v>0</v>
      </c>
      <c r="AZ414" t="s">
        <v>80</v>
      </c>
      <c r="BA414">
        <v>0</v>
      </c>
      <c r="BB414">
        <v>0</v>
      </c>
      <c r="BC414">
        <v>0</v>
      </c>
      <c r="BD414">
        <v>0</v>
      </c>
      <c r="BE414" t="s">
        <v>81</v>
      </c>
      <c r="BF414" t="b">
        <v>1</v>
      </c>
    </row>
    <row r="415" spans="1:58" x14ac:dyDescent="0.3">
      <c r="A415" t="s">
        <v>1006</v>
      </c>
      <c r="B415" t="s">
        <v>67</v>
      </c>
      <c r="C415" t="s">
        <v>1007</v>
      </c>
      <c r="D415" t="s">
        <v>95</v>
      </c>
      <c r="E415" t="s">
        <v>96</v>
      </c>
      <c r="F415" t="s">
        <v>115</v>
      </c>
      <c r="G415" s="1">
        <v>45439</v>
      </c>
      <c r="H415" s="1">
        <v>45596</v>
      </c>
      <c r="I415" s="1">
        <v>46879</v>
      </c>
      <c r="J415">
        <v>753200</v>
      </c>
      <c r="K415">
        <v>48</v>
      </c>
      <c r="L415">
        <v>43</v>
      </c>
      <c r="M415">
        <v>5</v>
      </c>
      <c r="N415">
        <v>9.0299999999999994</v>
      </c>
      <c r="O415">
        <v>18754.150000000001</v>
      </c>
      <c r="P415" t="s">
        <v>139</v>
      </c>
      <c r="Q415">
        <v>643021.93999999994</v>
      </c>
      <c r="R415">
        <v>18754.150000000001</v>
      </c>
      <c r="S415">
        <v>18321.16</v>
      </c>
      <c r="T415" s="1">
        <v>45580</v>
      </c>
      <c r="U415" t="s">
        <v>73</v>
      </c>
      <c r="V415">
        <v>0</v>
      </c>
      <c r="W415">
        <v>5</v>
      </c>
      <c r="X415">
        <v>5</v>
      </c>
      <c r="Y415">
        <v>0</v>
      </c>
      <c r="Z415">
        <v>0</v>
      </c>
      <c r="AA415">
        <v>0</v>
      </c>
      <c r="AB415" t="s">
        <v>125</v>
      </c>
      <c r="AC415" t="s">
        <v>238</v>
      </c>
      <c r="AD415">
        <v>2023</v>
      </c>
      <c r="AE415" t="s">
        <v>90</v>
      </c>
      <c r="AF415" t="b">
        <v>0</v>
      </c>
      <c r="AG415">
        <v>1143000</v>
      </c>
      <c r="AH415">
        <v>1069806.6000000001</v>
      </c>
      <c r="AI415">
        <v>0.65890000000000004</v>
      </c>
      <c r="AJ415">
        <v>0.59850000000000003</v>
      </c>
      <c r="AK415">
        <v>37</v>
      </c>
      <c r="AL415" t="s">
        <v>106</v>
      </c>
      <c r="AM415">
        <v>2270000</v>
      </c>
      <c r="AN415">
        <v>9.9099999999999994E-2</v>
      </c>
      <c r="AO415">
        <v>770</v>
      </c>
      <c r="AP415">
        <v>723</v>
      </c>
      <c r="AQ415" t="s">
        <v>78</v>
      </c>
      <c r="AR415" t="s">
        <v>79</v>
      </c>
      <c r="AS415">
        <v>1</v>
      </c>
      <c r="AT415">
        <v>1.9900000000000001E-2</v>
      </c>
      <c r="AU415">
        <v>0.56730000000000003</v>
      </c>
      <c r="AV415">
        <v>672253.33</v>
      </c>
      <c r="AW415">
        <v>7589.25</v>
      </c>
      <c r="AX415" t="b">
        <v>0</v>
      </c>
      <c r="AY415" t="b">
        <v>0</v>
      </c>
      <c r="AZ415" t="s">
        <v>80</v>
      </c>
      <c r="BA415">
        <v>0</v>
      </c>
      <c r="BB415">
        <v>0</v>
      </c>
      <c r="BC415">
        <v>0</v>
      </c>
      <c r="BD415">
        <v>0</v>
      </c>
      <c r="BE415" t="s">
        <v>81</v>
      </c>
      <c r="BF415" t="b">
        <v>1</v>
      </c>
    </row>
    <row r="416" spans="1:58" x14ac:dyDescent="0.3">
      <c r="A416" t="s">
        <v>1008</v>
      </c>
      <c r="B416" t="s">
        <v>67</v>
      </c>
      <c r="C416" t="s">
        <v>1009</v>
      </c>
      <c r="D416" t="s">
        <v>69</v>
      </c>
      <c r="E416" t="s">
        <v>70</v>
      </c>
      <c r="F416" t="s">
        <v>71</v>
      </c>
      <c r="G416" s="1">
        <v>44542</v>
      </c>
      <c r="H416" s="1">
        <v>45596</v>
      </c>
      <c r="I416" s="1">
        <v>45622</v>
      </c>
      <c r="J416">
        <v>858400</v>
      </c>
      <c r="K416">
        <v>36</v>
      </c>
      <c r="L416">
        <v>2</v>
      </c>
      <c r="M416">
        <v>34</v>
      </c>
      <c r="N416">
        <v>14.35</v>
      </c>
      <c r="O416">
        <v>29484.21</v>
      </c>
      <c r="P416" t="s">
        <v>72</v>
      </c>
      <c r="Q416">
        <v>45527.9</v>
      </c>
      <c r="R416">
        <v>29484.21</v>
      </c>
      <c r="S416">
        <v>29940.1</v>
      </c>
      <c r="T416" s="1">
        <v>45585</v>
      </c>
      <c r="U416" t="s">
        <v>73</v>
      </c>
      <c r="V416">
        <v>0</v>
      </c>
      <c r="W416">
        <v>34</v>
      </c>
      <c r="X416">
        <v>34</v>
      </c>
      <c r="Y416">
        <v>0</v>
      </c>
      <c r="Z416">
        <v>0</v>
      </c>
      <c r="AA416">
        <v>0</v>
      </c>
      <c r="AB416" t="s">
        <v>125</v>
      </c>
      <c r="AC416" t="s">
        <v>353</v>
      </c>
      <c r="AD416">
        <v>2021</v>
      </c>
      <c r="AE416" t="s">
        <v>90</v>
      </c>
      <c r="AF416" t="b">
        <v>1</v>
      </c>
      <c r="AG416">
        <v>1284000</v>
      </c>
      <c r="AH416">
        <v>727935.51</v>
      </c>
      <c r="AI416">
        <v>0.66849999999999998</v>
      </c>
      <c r="AJ416">
        <v>5.9900000000000002E-2</v>
      </c>
      <c r="AK416">
        <v>38</v>
      </c>
      <c r="AL416" t="s">
        <v>132</v>
      </c>
      <c r="AM416">
        <v>813000</v>
      </c>
      <c r="AN416">
        <v>0.43519999999999998</v>
      </c>
      <c r="AO416">
        <v>807</v>
      </c>
      <c r="AP416">
        <v>827</v>
      </c>
      <c r="AQ416" t="s">
        <v>145</v>
      </c>
      <c r="AR416" t="s">
        <v>157</v>
      </c>
      <c r="AS416">
        <v>1</v>
      </c>
      <c r="AT416">
        <v>1.89E-2</v>
      </c>
      <c r="AU416">
        <v>0.4</v>
      </c>
      <c r="AV416">
        <v>45679.92</v>
      </c>
      <c r="AW416">
        <v>345.34</v>
      </c>
      <c r="AX416" t="b">
        <v>0</v>
      </c>
      <c r="AY416" t="b">
        <v>0</v>
      </c>
      <c r="AZ416" t="s">
        <v>80</v>
      </c>
      <c r="BA416">
        <v>0</v>
      </c>
      <c r="BB416">
        <v>0</v>
      </c>
      <c r="BC416">
        <v>0</v>
      </c>
      <c r="BD416">
        <v>0</v>
      </c>
      <c r="BE416" t="s">
        <v>108</v>
      </c>
      <c r="BF416" t="b">
        <v>1</v>
      </c>
    </row>
    <row r="417" spans="1:58" x14ac:dyDescent="0.3">
      <c r="A417" t="s">
        <v>1010</v>
      </c>
      <c r="B417" t="s">
        <v>67</v>
      </c>
      <c r="C417" t="s">
        <v>1011</v>
      </c>
      <c r="D417" t="s">
        <v>95</v>
      </c>
      <c r="E417" t="s">
        <v>96</v>
      </c>
      <c r="F417" t="s">
        <v>71</v>
      </c>
      <c r="G417" s="1">
        <v>45160</v>
      </c>
      <c r="H417" s="1">
        <v>45596</v>
      </c>
      <c r="I417" s="1">
        <v>46240</v>
      </c>
      <c r="J417">
        <v>905300</v>
      </c>
      <c r="K417">
        <v>36</v>
      </c>
      <c r="L417">
        <v>22</v>
      </c>
      <c r="M417">
        <v>14</v>
      </c>
      <c r="N417">
        <v>9.3800000000000008</v>
      </c>
      <c r="O417">
        <v>28948.67</v>
      </c>
      <c r="P417" t="s">
        <v>72</v>
      </c>
      <c r="Q417">
        <v>562904.81999999995</v>
      </c>
      <c r="R417">
        <v>28948.67</v>
      </c>
      <c r="S417">
        <v>13290.09</v>
      </c>
      <c r="T417" s="1">
        <v>45579</v>
      </c>
      <c r="U417" t="s">
        <v>131</v>
      </c>
      <c r="V417">
        <v>60</v>
      </c>
      <c r="W417">
        <v>14</v>
      </c>
      <c r="X417">
        <v>10</v>
      </c>
      <c r="Y417">
        <v>0</v>
      </c>
      <c r="Z417">
        <v>2</v>
      </c>
      <c r="AA417">
        <v>2</v>
      </c>
      <c r="AB417" t="s">
        <v>174</v>
      </c>
      <c r="AC417" t="s">
        <v>305</v>
      </c>
      <c r="AD417">
        <v>2023</v>
      </c>
      <c r="AE417" t="s">
        <v>76</v>
      </c>
      <c r="AF417" t="b">
        <v>1</v>
      </c>
      <c r="AG417">
        <v>1444000</v>
      </c>
      <c r="AH417">
        <v>1192374.6599999999</v>
      </c>
      <c r="AI417">
        <v>0.627</v>
      </c>
      <c r="AJ417">
        <v>0.46850000000000003</v>
      </c>
      <c r="AK417">
        <v>30</v>
      </c>
      <c r="AL417" t="s">
        <v>120</v>
      </c>
      <c r="AM417">
        <v>2901000</v>
      </c>
      <c r="AN417">
        <v>0.1197</v>
      </c>
      <c r="AO417">
        <v>744</v>
      </c>
      <c r="AP417">
        <v>716</v>
      </c>
      <c r="AQ417" t="s">
        <v>100</v>
      </c>
      <c r="AR417" t="s">
        <v>149</v>
      </c>
      <c r="AS417">
        <v>2</v>
      </c>
      <c r="AT417">
        <v>9.6000000000000002E-2</v>
      </c>
      <c r="AU417">
        <v>0.49070000000000003</v>
      </c>
      <c r="AV417">
        <v>586730.81000000006</v>
      </c>
      <c r="AW417">
        <v>27639.25</v>
      </c>
      <c r="AX417" t="b">
        <v>0</v>
      </c>
      <c r="AY417" t="b">
        <v>0</v>
      </c>
      <c r="AZ417" t="s">
        <v>80</v>
      </c>
      <c r="BA417">
        <v>0</v>
      </c>
      <c r="BB417">
        <v>0</v>
      </c>
      <c r="BC417">
        <v>0</v>
      </c>
      <c r="BD417">
        <v>0</v>
      </c>
      <c r="BE417" t="s">
        <v>134</v>
      </c>
      <c r="BF417" t="b">
        <v>1</v>
      </c>
    </row>
    <row r="418" spans="1:58" x14ac:dyDescent="0.3">
      <c r="A418" t="s">
        <v>1012</v>
      </c>
      <c r="B418" t="s">
        <v>67</v>
      </c>
      <c r="C418" t="s">
        <v>1013</v>
      </c>
      <c r="D418" t="s">
        <v>69</v>
      </c>
      <c r="E418" t="s">
        <v>70</v>
      </c>
      <c r="F418" t="s">
        <v>115</v>
      </c>
      <c r="G418" s="1">
        <v>45128</v>
      </c>
      <c r="H418" s="1">
        <v>45596</v>
      </c>
      <c r="I418" s="1">
        <v>46568</v>
      </c>
      <c r="J418">
        <v>677700</v>
      </c>
      <c r="K418">
        <v>48</v>
      </c>
      <c r="L418">
        <v>33</v>
      </c>
      <c r="M418">
        <v>15</v>
      </c>
      <c r="N418">
        <v>7.5</v>
      </c>
      <c r="O418">
        <v>16386.04</v>
      </c>
      <c r="P418" t="s">
        <v>139</v>
      </c>
      <c r="Q418">
        <v>451529.27</v>
      </c>
      <c r="R418">
        <v>16386.04</v>
      </c>
      <c r="S418">
        <v>5015.08</v>
      </c>
      <c r="T418" s="1">
        <v>45577</v>
      </c>
      <c r="U418" t="s">
        <v>140</v>
      </c>
      <c r="V418">
        <v>267</v>
      </c>
      <c r="W418">
        <v>15</v>
      </c>
      <c r="X418">
        <v>11</v>
      </c>
      <c r="Y418">
        <v>3</v>
      </c>
      <c r="Z418">
        <v>0</v>
      </c>
      <c r="AA418">
        <v>2</v>
      </c>
      <c r="AB418" t="s">
        <v>208</v>
      </c>
      <c r="AC418" t="s">
        <v>405</v>
      </c>
      <c r="AD418">
        <v>2021</v>
      </c>
      <c r="AE418" t="s">
        <v>76</v>
      </c>
      <c r="AF418" t="b">
        <v>0</v>
      </c>
      <c r="AG418">
        <v>1087000</v>
      </c>
      <c r="AH418">
        <v>868811.1</v>
      </c>
      <c r="AI418">
        <v>0.62350000000000005</v>
      </c>
      <c r="AJ418">
        <v>0.50660000000000005</v>
      </c>
      <c r="AK418">
        <v>54</v>
      </c>
      <c r="AL418" t="s">
        <v>120</v>
      </c>
      <c r="AM418">
        <v>2886000</v>
      </c>
      <c r="AN418">
        <v>6.8099999999999994E-2</v>
      </c>
      <c r="AO418">
        <v>835</v>
      </c>
      <c r="AP418">
        <v>836</v>
      </c>
      <c r="AQ418" t="s">
        <v>78</v>
      </c>
      <c r="AR418" t="s">
        <v>133</v>
      </c>
      <c r="AS418">
        <v>3</v>
      </c>
      <c r="AT418">
        <v>0.70050000000000001</v>
      </c>
      <c r="AU418">
        <v>0.52990000000000004</v>
      </c>
      <c r="AV418">
        <v>459826.15</v>
      </c>
      <c r="AW418">
        <v>170685.14</v>
      </c>
      <c r="AX418" t="b">
        <v>0</v>
      </c>
      <c r="AY418" t="b">
        <v>0</v>
      </c>
      <c r="AZ418" t="s">
        <v>80</v>
      </c>
      <c r="BA418">
        <v>0</v>
      </c>
      <c r="BB418">
        <v>0</v>
      </c>
      <c r="BC418">
        <v>0</v>
      </c>
      <c r="BD418">
        <v>0</v>
      </c>
      <c r="BE418" t="s">
        <v>134</v>
      </c>
      <c r="BF418" t="b">
        <v>1</v>
      </c>
    </row>
    <row r="419" spans="1:58" x14ac:dyDescent="0.3">
      <c r="A419" t="s">
        <v>1014</v>
      </c>
      <c r="B419" t="s">
        <v>67</v>
      </c>
      <c r="C419" t="s">
        <v>1015</v>
      </c>
      <c r="D419" t="s">
        <v>69</v>
      </c>
      <c r="E419" t="s">
        <v>70</v>
      </c>
      <c r="F419" t="s">
        <v>71</v>
      </c>
      <c r="G419" s="1">
        <v>44841</v>
      </c>
      <c r="H419" s="1">
        <v>45596</v>
      </c>
      <c r="I419" s="1">
        <v>46281</v>
      </c>
      <c r="J419">
        <v>996400</v>
      </c>
      <c r="K419">
        <v>48</v>
      </c>
      <c r="L419">
        <v>24</v>
      </c>
      <c r="M419">
        <v>24</v>
      </c>
      <c r="N419">
        <v>10.65</v>
      </c>
      <c r="O419">
        <v>25583.45</v>
      </c>
      <c r="P419" t="s">
        <v>72</v>
      </c>
      <c r="Q419">
        <v>492502.83</v>
      </c>
      <c r="R419">
        <v>25583.45</v>
      </c>
      <c r="S419">
        <v>26630.82</v>
      </c>
      <c r="T419" s="1">
        <v>45569</v>
      </c>
      <c r="U419" t="s">
        <v>73</v>
      </c>
      <c r="V419">
        <v>0</v>
      </c>
      <c r="W419">
        <v>24</v>
      </c>
      <c r="X419">
        <v>24</v>
      </c>
      <c r="Y419">
        <v>0</v>
      </c>
      <c r="Z419">
        <v>0</v>
      </c>
      <c r="AA419">
        <v>0</v>
      </c>
      <c r="AB419" t="s">
        <v>164</v>
      </c>
      <c r="AC419" t="s">
        <v>279</v>
      </c>
      <c r="AD419">
        <v>2022</v>
      </c>
      <c r="AE419" t="s">
        <v>76</v>
      </c>
      <c r="AF419" t="b">
        <v>1</v>
      </c>
      <c r="AG419">
        <v>1210000</v>
      </c>
      <c r="AH419">
        <v>788828.99</v>
      </c>
      <c r="AI419">
        <v>0.82350000000000001</v>
      </c>
      <c r="AJ419">
        <v>0.57169999999999999</v>
      </c>
      <c r="AK419">
        <v>32</v>
      </c>
      <c r="AL419" t="s">
        <v>106</v>
      </c>
      <c r="AM419">
        <v>1226000</v>
      </c>
      <c r="AN419">
        <v>0.25040000000000001</v>
      </c>
      <c r="AO419">
        <v>708</v>
      </c>
      <c r="AP419">
        <v>714</v>
      </c>
      <c r="AQ419" t="s">
        <v>91</v>
      </c>
      <c r="AR419" t="s">
        <v>192</v>
      </c>
      <c r="AS419">
        <v>1</v>
      </c>
      <c r="AT419">
        <v>2.5399999999999999E-2</v>
      </c>
      <c r="AU419">
        <v>0.61909999999999998</v>
      </c>
      <c r="AV419">
        <v>515225.59999999998</v>
      </c>
      <c r="AW419">
        <v>8101.99</v>
      </c>
      <c r="AX419" t="b">
        <v>0</v>
      </c>
      <c r="AY419" t="b">
        <v>0</v>
      </c>
      <c r="AZ419" t="s">
        <v>80</v>
      </c>
      <c r="BA419">
        <v>0</v>
      </c>
      <c r="BB419">
        <v>0</v>
      </c>
      <c r="BC419">
        <v>0</v>
      </c>
      <c r="BD419">
        <v>0</v>
      </c>
      <c r="BE419" t="s">
        <v>134</v>
      </c>
      <c r="BF419" t="b">
        <v>1</v>
      </c>
    </row>
    <row r="420" spans="1:58" x14ac:dyDescent="0.3">
      <c r="A420" t="s">
        <v>1016</v>
      </c>
      <c r="B420" t="s">
        <v>67</v>
      </c>
      <c r="C420" t="s">
        <v>1017</v>
      </c>
      <c r="D420" t="s">
        <v>84</v>
      </c>
      <c r="E420" t="s">
        <v>85</v>
      </c>
      <c r="F420" t="s">
        <v>115</v>
      </c>
      <c r="G420" s="1">
        <v>44799</v>
      </c>
      <c r="H420" s="1">
        <v>45596</v>
      </c>
      <c r="I420" s="1">
        <v>45879</v>
      </c>
      <c r="J420">
        <v>334900</v>
      </c>
      <c r="K420">
        <v>36</v>
      </c>
      <c r="L420">
        <v>10</v>
      </c>
      <c r="M420">
        <v>26</v>
      </c>
      <c r="N420">
        <v>14.44</v>
      </c>
      <c r="O420">
        <v>11517.79</v>
      </c>
      <c r="P420" t="s">
        <v>116</v>
      </c>
      <c r="Q420">
        <v>85761.46</v>
      </c>
      <c r="R420">
        <v>11517.79</v>
      </c>
      <c r="S420">
        <v>11781.16</v>
      </c>
      <c r="T420" s="1">
        <v>45564</v>
      </c>
      <c r="U420" t="s">
        <v>73</v>
      </c>
      <c r="V420">
        <v>0</v>
      </c>
      <c r="W420">
        <v>26</v>
      </c>
      <c r="X420">
        <v>26</v>
      </c>
      <c r="Y420">
        <v>0</v>
      </c>
      <c r="Z420">
        <v>0</v>
      </c>
      <c r="AA420">
        <v>0</v>
      </c>
      <c r="AB420" t="s">
        <v>111</v>
      </c>
      <c r="AC420" t="s">
        <v>197</v>
      </c>
      <c r="AD420">
        <v>2018</v>
      </c>
      <c r="AE420" t="s">
        <v>99</v>
      </c>
      <c r="AF420" t="b">
        <v>0</v>
      </c>
      <c r="AG420">
        <v>363000</v>
      </c>
      <c r="AH420">
        <v>228130.61</v>
      </c>
      <c r="AI420">
        <v>0.92269999999999996</v>
      </c>
      <c r="AJ420">
        <v>0.34339999999999998</v>
      </c>
      <c r="AK420">
        <v>59</v>
      </c>
      <c r="AL420" t="s">
        <v>106</v>
      </c>
      <c r="AM420">
        <v>2842000</v>
      </c>
      <c r="AN420">
        <v>4.8599999999999997E-2</v>
      </c>
      <c r="AO420">
        <v>811</v>
      </c>
      <c r="AP420">
        <v>827</v>
      </c>
      <c r="AQ420" t="s">
        <v>91</v>
      </c>
      <c r="AR420" t="s">
        <v>92</v>
      </c>
      <c r="AS420">
        <v>1</v>
      </c>
      <c r="AT420">
        <v>2.46E-2</v>
      </c>
      <c r="AU420">
        <v>0.57750000000000001</v>
      </c>
      <c r="AV420">
        <v>87619.95</v>
      </c>
      <c r="AW420">
        <v>1244.77</v>
      </c>
      <c r="AX420" t="b">
        <v>0</v>
      </c>
      <c r="AY420" t="b">
        <v>0</v>
      </c>
      <c r="AZ420" t="s">
        <v>80</v>
      </c>
      <c r="BA420">
        <v>0</v>
      </c>
      <c r="BB420">
        <v>0</v>
      </c>
      <c r="BC420">
        <v>0</v>
      </c>
      <c r="BD420">
        <v>0</v>
      </c>
      <c r="BE420" t="s">
        <v>108</v>
      </c>
      <c r="BF420" t="b">
        <v>1</v>
      </c>
    </row>
    <row r="421" spans="1:58" x14ac:dyDescent="0.3">
      <c r="A421" t="s">
        <v>1018</v>
      </c>
      <c r="B421" t="s">
        <v>67</v>
      </c>
      <c r="C421" t="s">
        <v>1019</v>
      </c>
      <c r="D421" t="s">
        <v>95</v>
      </c>
      <c r="E421" t="s">
        <v>96</v>
      </c>
      <c r="F421" t="s">
        <v>71</v>
      </c>
      <c r="G421" s="1">
        <v>44511</v>
      </c>
      <c r="H421" s="1">
        <v>45596</v>
      </c>
      <c r="I421" s="1">
        <v>45951</v>
      </c>
      <c r="J421">
        <v>2281900</v>
      </c>
      <c r="K421">
        <v>48</v>
      </c>
      <c r="L421">
        <v>13</v>
      </c>
      <c r="M421">
        <v>35</v>
      </c>
      <c r="N421">
        <v>8.5</v>
      </c>
      <c r="O421">
        <v>56244.959999999999</v>
      </c>
      <c r="P421" t="s">
        <v>72</v>
      </c>
      <c r="Q421">
        <v>641035.15</v>
      </c>
      <c r="R421">
        <v>56244.959999999999</v>
      </c>
      <c r="S421">
        <v>54665.01</v>
      </c>
      <c r="T421" s="1">
        <v>45586</v>
      </c>
      <c r="U421" t="s">
        <v>73</v>
      </c>
      <c r="V421">
        <v>0</v>
      </c>
      <c r="W421">
        <v>35</v>
      </c>
      <c r="X421">
        <v>35</v>
      </c>
      <c r="Y421">
        <v>0</v>
      </c>
      <c r="Z421">
        <v>0</v>
      </c>
      <c r="AA421">
        <v>0</v>
      </c>
      <c r="AB421" t="s">
        <v>174</v>
      </c>
      <c r="AC421" t="s">
        <v>423</v>
      </c>
      <c r="AD421">
        <v>2021</v>
      </c>
      <c r="AE421" t="s">
        <v>166</v>
      </c>
      <c r="AF421" t="b">
        <v>1</v>
      </c>
      <c r="AG421">
        <v>2775000</v>
      </c>
      <c r="AH421">
        <v>1746250.13</v>
      </c>
      <c r="AI421">
        <v>0.82230000000000003</v>
      </c>
      <c r="AJ421">
        <v>0.39829999999999999</v>
      </c>
      <c r="AK421">
        <v>48</v>
      </c>
      <c r="AL421" t="s">
        <v>106</v>
      </c>
      <c r="AM421">
        <v>784000</v>
      </c>
      <c r="AN421">
        <v>0.8609</v>
      </c>
      <c r="AO421">
        <v>727</v>
      </c>
      <c r="AP421">
        <v>678</v>
      </c>
      <c r="AQ421" t="s">
        <v>100</v>
      </c>
      <c r="AR421" t="s">
        <v>229</v>
      </c>
      <c r="AS421">
        <v>1</v>
      </c>
      <c r="AT421">
        <v>1.4E-2</v>
      </c>
      <c r="AU421">
        <v>0.36990000000000001</v>
      </c>
      <c r="AV421">
        <v>668562.5</v>
      </c>
      <c r="AW421">
        <v>3462.22</v>
      </c>
      <c r="AX421" t="b">
        <v>0</v>
      </c>
      <c r="AY421" t="b">
        <v>0</v>
      </c>
      <c r="AZ421" t="s">
        <v>80</v>
      </c>
      <c r="BA421">
        <v>0</v>
      </c>
      <c r="BB421">
        <v>0</v>
      </c>
      <c r="BC421">
        <v>0</v>
      </c>
      <c r="BD421">
        <v>0</v>
      </c>
      <c r="BE421" t="s">
        <v>81</v>
      </c>
      <c r="BF421" t="b">
        <v>1</v>
      </c>
    </row>
    <row r="422" spans="1:58" x14ac:dyDescent="0.3">
      <c r="A422" t="s">
        <v>1020</v>
      </c>
      <c r="B422" t="s">
        <v>67</v>
      </c>
      <c r="C422" t="s">
        <v>1021</v>
      </c>
      <c r="D422" t="s">
        <v>84</v>
      </c>
      <c r="E422" t="s">
        <v>85</v>
      </c>
      <c r="F422" t="s">
        <v>86</v>
      </c>
      <c r="G422" s="1">
        <v>45207</v>
      </c>
      <c r="H422" s="1">
        <v>45596</v>
      </c>
      <c r="I422" s="1">
        <v>47367</v>
      </c>
      <c r="J422">
        <v>2324000</v>
      </c>
      <c r="K422">
        <v>72</v>
      </c>
      <c r="L422">
        <v>60</v>
      </c>
      <c r="M422">
        <v>12</v>
      </c>
      <c r="N422">
        <v>14.19</v>
      </c>
      <c r="O422">
        <v>48124.5</v>
      </c>
      <c r="P422" t="s">
        <v>72</v>
      </c>
      <c r="Q422">
        <v>1817973.22</v>
      </c>
      <c r="R422">
        <v>48124.5</v>
      </c>
      <c r="S422">
        <v>4100.08</v>
      </c>
      <c r="T422" s="1">
        <v>45587</v>
      </c>
      <c r="U422" t="s">
        <v>87</v>
      </c>
      <c r="V422">
        <v>25</v>
      </c>
      <c r="W422">
        <v>12</v>
      </c>
      <c r="X422">
        <v>11</v>
      </c>
      <c r="Y422">
        <v>3</v>
      </c>
      <c r="Z422">
        <v>0</v>
      </c>
      <c r="AA422">
        <v>0</v>
      </c>
      <c r="AB422" t="s">
        <v>74</v>
      </c>
      <c r="AC422" t="s">
        <v>75</v>
      </c>
      <c r="AD422">
        <v>2023</v>
      </c>
      <c r="AE422" t="s">
        <v>119</v>
      </c>
      <c r="AF422" t="b">
        <v>1</v>
      </c>
      <c r="AG422">
        <v>2465000</v>
      </c>
      <c r="AH422">
        <v>2133256.38</v>
      </c>
      <c r="AI422">
        <v>0.94279999999999997</v>
      </c>
      <c r="AJ422">
        <v>0.86160000000000003</v>
      </c>
      <c r="AK422">
        <v>58</v>
      </c>
      <c r="AL422" t="s">
        <v>106</v>
      </c>
      <c r="AM422">
        <v>2037000</v>
      </c>
      <c r="AN422">
        <v>0.28349999999999997</v>
      </c>
      <c r="AO422">
        <v>689</v>
      </c>
      <c r="AP422">
        <v>714</v>
      </c>
      <c r="AQ422" t="s">
        <v>78</v>
      </c>
      <c r="AR422" t="s">
        <v>133</v>
      </c>
      <c r="AS422">
        <v>1</v>
      </c>
      <c r="AT422">
        <v>0.02</v>
      </c>
      <c r="AU422">
        <v>0.56730000000000003</v>
      </c>
      <c r="AV422">
        <v>1854760.73</v>
      </c>
      <c r="AW422">
        <v>21044.12</v>
      </c>
      <c r="AX422" t="b">
        <v>0</v>
      </c>
      <c r="AY422" t="b">
        <v>0</v>
      </c>
      <c r="AZ422" t="s">
        <v>80</v>
      </c>
      <c r="BA422">
        <v>0</v>
      </c>
      <c r="BB422">
        <v>0</v>
      </c>
      <c r="BC422">
        <v>0</v>
      </c>
      <c r="BD422">
        <v>0</v>
      </c>
      <c r="BE422" t="s">
        <v>134</v>
      </c>
      <c r="BF422" t="b">
        <v>1</v>
      </c>
    </row>
    <row r="423" spans="1:58" x14ac:dyDescent="0.3">
      <c r="A423" t="s">
        <v>1022</v>
      </c>
      <c r="B423" t="s">
        <v>67</v>
      </c>
      <c r="C423" t="s">
        <v>1023</v>
      </c>
      <c r="D423" t="s">
        <v>69</v>
      </c>
      <c r="E423" t="s">
        <v>70</v>
      </c>
      <c r="F423" t="s">
        <v>86</v>
      </c>
      <c r="G423" s="1">
        <v>44645</v>
      </c>
      <c r="H423" s="1">
        <v>45596</v>
      </c>
      <c r="I423" s="1">
        <v>46805</v>
      </c>
      <c r="J423">
        <v>732800</v>
      </c>
      <c r="K423">
        <v>72</v>
      </c>
      <c r="L423">
        <v>41</v>
      </c>
      <c r="M423">
        <v>31</v>
      </c>
      <c r="N423">
        <v>12.7</v>
      </c>
      <c r="O423">
        <v>14594.53</v>
      </c>
      <c r="P423" t="s">
        <v>72</v>
      </c>
      <c r="Q423">
        <v>401804.85</v>
      </c>
      <c r="R423">
        <v>14594.53</v>
      </c>
      <c r="S423">
        <v>14492.52</v>
      </c>
      <c r="T423" s="1">
        <v>45581</v>
      </c>
      <c r="U423" t="s">
        <v>73</v>
      </c>
      <c r="V423">
        <v>0</v>
      </c>
      <c r="W423">
        <v>31</v>
      </c>
      <c r="X423">
        <v>31</v>
      </c>
      <c r="Y423">
        <v>0</v>
      </c>
      <c r="Z423">
        <v>0</v>
      </c>
      <c r="AA423">
        <v>0</v>
      </c>
      <c r="AB423" t="s">
        <v>125</v>
      </c>
      <c r="AC423" t="s">
        <v>144</v>
      </c>
      <c r="AD423">
        <v>2022</v>
      </c>
      <c r="AE423" t="s">
        <v>99</v>
      </c>
      <c r="AF423" t="b">
        <v>1</v>
      </c>
      <c r="AG423">
        <v>943000</v>
      </c>
      <c r="AH423">
        <v>566913.05000000005</v>
      </c>
      <c r="AI423">
        <v>0.77700000000000002</v>
      </c>
      <c r="AJ423">
        <v>0.67849999999999999</v>
      </c>
      <c r="AK423">
        <v>43</v>
      </c>
      <c r="AL423" t="s">
        <v>132</v>
      </c>
      <c r="AM423">
        <v>2020000</v>
      </c>
      <c r="AN423">
        <v>8.6699999999999999E-2</v>
      </c>
      <c r="AO423">
        <v>819</v>
      </c>
      <c r="AP423">
        <v>777</v>
      </c>
      <c r="AQ423" t="s">
        <v>91</v>
      </c>
      <c r="AR423" t="s">
        <v>92</v>
      </c>
      <c r="AS423">
        <v>1</v>
      </c>
      <c r="AT423">
        <v>1.6799999999999999E-2</v>
      </c>
      <c r="AU423">
        <v>0.61370000000000002</v>
      </c>
      <c r="AV423">
        <v>411686.45</v>
      </c>
      <c r="AW423">
        <v>4244.55</v>
      </c>
      <c r="AX423" t="b">
        <v>0</v>
      </c>
      <c r="AY423" t="b">
        <v>0</v>
      </c>
      <c r="AZ423" t="s">
        <v>80</v>
      </c>
      <c r="BA423">
        <v>0</v>
      </c>
      <c r="BB423">
        <v>0</v>
      </c>
      <c r="BC423">
        <v>0</v>
      </c>
      <c r="BD423">
        <v>0</v>
      </c>
      <c r="BE423" t="s">
        <v>134</v>
      </c>
      <c r="BF423" t="b">
        <v>1</v>
      </c>
    </row>
    <row r="424" spans="1:58" x14ac:dyDescent="0.3">
      <c r="A424" t="s">
        <v>1024</v>
      </c>
      <c r="B424" t="s">
        <v>67</v>
      </c>
      <c r="C424" t="s">
        <v>1025</v>
      </c>
      <c r="D424" t="s">
        <v>69</v>
      </c>
      <c r="E424" t="s">
        <v>70</v>
      </c>
      <c r="F424" t="s">
        <v>71</v>
      </c>
      <c r="G424" s="1">
        <v>45447</v>
      </c>
      <c r="H424" s="1">
        <v>45596</v>
      </c>
      <c r="I424" s="1">
        <v>46527</v>
      </c>
      <c r="J424">
        <v>2158500</v>
      </c>
      <c r="K424">
        <v>36</v>
      </c>
      <c r="L424">
        <v>32</v>
      </c>
      <c r="M424">
        <v>4</v>
      </c>
      <c r="N424">
        <v>8.07</v>
      </c>
      <c r="O424">
        <v>67709.27</v>
      </c>
      <c r="P424" t="s">
        <v>72</v>
      </c>
      <c r="Q424">
        <v>1955944.72</v>
      </c>
      <c r="R424">
        <v>67709.27</v>
      </c>
      <c r="S424">
        <v>68483.62</v>
      </c>
      <c r="T424" s="1">
        <v>45584</v>
      </c>
      <c r="U424" t="s">
        <v>73</v>
      </c>
      <c r="V424">
        <v>0</v>
      </c>
      <c r="W424">
        <v>4</v>
      </c>
      <c r="X424">
        <v>4</v>
      </c>
      <c r="Y424">
        <v>0</v>
      </c>
      <c r="Z424">
        <v>0</v>
      </c>
      <c r="AA424">
        <v>0</v>
      </c>
      <c r="AB424" t="s">
        <v>208</v>
      </c>
      <c r="AC424" t="s">
        <v>651</v>
      </c>
      <c r="AD424">
        <v>2024</v>
      </c>
      <c r="AE424" t="s">
        <v>119</v>
      </c>
      <c r="AF424" t="b">
        <v>1</v>
      </c>
      <c r="AG424">
        <v>2402000</v>
      </c>
      <c r="AH424">
        <v>2419123.6800000002</v>
      </c>
      <c r="AI424">
        <v>0.89859999999999995</v>
      </c>
      <c r="AJ424">
        <v>0.85540000000000005</v>
      </c>
      <c r="AK424">
        <v>31</v>
      </c>
      <c r="AL424" t="s">
        <v>120</v>
      </c>
      <c r="AM424">
        <v>2615000</v>
      </c>
      <c r="AN424">
        <v>0.31069999999999998</v>
      </c>
      <c r="AO424">
        <v>673</v>
      </c>
      <c r="AP424">
        <v>642</v>
      </c>
      <c r="AQ424" t="s">
        <v>145</v>
      </c>
      <c r="AR424" t="s">
        <v>146</v>
      </c>
      <c r="AS424">
        <v>1</v>
      </c>
      <c r="AT424">
        <v>2.47E-2</v>
      </c>
      <c r="AU424">
        <v>0.44900000000000001</v>
      </c>
      <c r="AV424">
        <v>1959753.16</v>
      </c>
      <c r="AW424">
        <v>21734.25</v>
      </c>
      <c r="AX424" t="b">
        <v>0</v>
      </c>
      <c r="AY424" t="b">
        <v>0</v>
      </c>
      <c r="AZ424" t="s">
        <v>80</v>
      </c>
      <c r="BA424">
        <v>0</v>
      </c>
      <c r="BB424">
        <v>0</v>
      </c>
      <c r="BC424">
        <v>0</v>
      </c>
      <c r="BD424">
        <v>0</v>
      </c>
      <c r="BE424" t="s">
        <v>108</v>
      </c>
      <c r="BF424" t="b">
        <v>0</v>
      </c>
    </row>
    <row r="425" spans="1:58" x14ac:dyDescent="0.3">
      <c r="A425" t="s">
        <v>1026</v>
      </c>
      <c r="B425" t="s">
        <v>67</v>
      </c>
      <c r="C425" t="s">
        <v>1027</v>
      </c>
      <c r="D425" t="s">
        <v>95</v>
      </c>
      <c r="E425" t="s">
        <v>96</v>
      </c>
      <c r="F425" t="s">
        <v>124</v>
      </c>
      <c r="G425" s="1">
        <v>44997</v>
      </c>
      <c r="H425" s="1">
        <v>45596</v>
      </c>
      <c r="I425" s="1">
        <v>47517</v>
      </c>
      <c r="J425">
        <v>1930500</v>
      </c>
      <c r="K425">
        <v>84</v>
      </c>
      <c r="L425">
        <v>65</v>
      </c>
      <c r="M425">
        <v>19</v>
      </c>
      <c r="N425">
        <v>9.49</v>
      </c>
      <c r="O425">
        <v>31542.17</v>
      </c>
      <c r="P425" t="s">
        <v>72</v>
      </c>
      <c r="Q425">
        <v>1359007.41</v>
      </c>
      <c r="R425">
        <v>31542.17</v>
      </c>
      <c r="S425">
        <v>32470.32</v>
      </c>
      <c r="T425" s="1">
        <v>45577</v>
      </c>
      <c r="U425" t="s">
        <v>73</v>
      </c>
      <c r="V425">
        <v>0</v>
      </c>
      <c r="W425">
        <v>19</v>
      </c>
      <c r="X425">
        <v>19</v>
      </c>
      <c r="Y425">
        <v>0</v>
      </c>
      <c r="Z425">
        <v>0</v>
      </c>
      <c r="AA425">
        <v>0</v>
      </c>
      <c r="AB425" t="s">
        <v>164</v>
      </c>
      <c r="AC425" t="s">
        <v>279</v>
      </c>
      <c r="AD425">
        <v>2023</v>
      </c>
      <c r="AE425" t="s">
        <v>119</v>
      </c>
      <c r="AF425" t="b">
        <v>1</v>
      </c>
      <c r="AG425">
        <v>2462000</v>
      </c>
      <c r="AH425">
        <v>1963863.12</v>
      </c>
      <c r="AI425">
        <v>0.78410000000000002</v>
      </c>
      <c r="AJ425">
        <v>0.71499999999999997</v>
      </c>
      <c r="AK425">
        <v>39</v>
      </c>
      <c r="AL425" t="s">
        <v>77</v>
      </c>
      <c r="AM425">
        <v>3324000</v>
      </c>
      <c r="AN425">
        <v>0.1139</v>
      </c>
      <c r="AO425">
        <v>829</v>
      </c>
      <c r="AP425">
        <v>844</v>
      </c>
      <c r="AQ425" t="s">
        <v>145</v>
      </c>
      <c r="AR425" t="s">
        <v>182</v>
      </c>
      <c r="AS425">
        <v>1</v>
      </c>
      <c r="AT425">
        <v>1.83E-2</v>
      </c>
      <c r="AU425">
        <v>0.50270000000000004</v>
      </c>
      <c r="AV425">
        <v>1378961.26</v>
      </c>
      <c r="AW425">
        <v>12685.63</v>
      </c>
      <c r="AX425" t="b">
        <v>0</v>
      </c>
      <c r="AY425" t="b">
        <v>0</v>
      </c>
      <c r="AZ425" t="s">
        <v>80</v>
      </c>
      <c r="BA425">
        <v>0</v>
      </c>
      <c r="BB425">
        <v>0</v>
      </c>
      <c r="BC425">
        <v>0</v>
      </c>
      <c r="BD425">
        <v>0</v>
      </c>
      <c r="BE425" t="s">
        <v>81</v>
      </c>
      <c r="BF425" t="b">
        <v>1</v>
      </c>
    </row>
    <row r="426" spans="1:58" x14ac:dyDescent="0.3">
      <c r="A426" t="s">
        <v>1028</v>
      </c>
      <c r="B426" t="s">
        <v>67</v>
      </c>
      <c r="C426" t="s">
        <v>1029</v>
      </c>
      <c r="D426" t="s">
        <v>69</v>
      </c>
      <c r="E426" t="s">
        <v>70</v>
      </c>
      <c r="F426" t="s">
        <v>124</v>
      </c>
      <c r="G426" s="1">
        <v>44628</v>
      </c>
      <c r="H426" s="1">
        <v>45596</v>
      </c>
      <c r="I426" s="1">
        <v>46788</v>
      </c>
      <c r="J426">
        <v>181500</v>
      </c>
      <c r="K426">
        <v>72</v>
      </c>
      <c r="L426">
        <v>41</v>
      </c>
      <c r="M426">
        <v>31</v>
      </c>
      <c r="N426">
        <v>8.3800000000000008</v>
      </c>
      <c r="O426">
        <v>3216.07</v>
      </c>
      <c r="P426" t="s">
        <v>116</v>
      </c>
      <c r="Q426">
        <v>104223.94</v>
      </c>
      <c r="R426">
        <v>3216.07</v>
      </c>
      <c r="S426">
        <v>3316.58</v>
      </c>
      <c r="T426" s="1">
        <v>45567</v>
      </c>
      <c r="U426" t="s">
        <v>73</v>
      </c>
      <c r="V426">
        <v>0</v>
      </c>
      <c r="W426">
        <v>31</v>
      </c>
      <c r="X426">
        <v>31</v>
      </c>
      <c r="Y426">
        <v>0</v>
      </c>
      <c r="Z426">
        <v>0</v>
      </c>
      <c r="AA426">
        <v>0</v>
      </c>
      <c r="AB426" t="s">
        <v>125</v>
      </c>
      <c r="AC426" t="s">
        <v>144</v>
      </c>
      <c r="AD426">
        <v>2020</v>
      </c>
      <c r="AE426" t="s">
        <v>99</v>
      </c>
      <c r="AF426" t="b">
        <v>0</v>
      </c>
      <c r="AG426">
        <v>283000</v>
      </c>
      <c r="AH426">
        <v>183351.79</v>
      </c>
      <c r="AI426">
        <v>0.64119999999999999</v>
      </c>
      <c r="AJ426">
        <v>0.58640000000000003</v>
      </c>
      <c r="AK426">
        <v>45</v>
      </c>
      <c r="AL426" t="s">
        <v>106</v>
      </c>
      <c r="AM426">
        <v>3762000</v>
      </c>
      <c r="AN426">
        <v>1.03E-2</v>
      </c>
      <c r="AO426">
        <v>761</v>
      </c>
      <c r="AP426">
        <v>763</v>
      </c>
      <c r="AQ426" t="s">
        <v>145</v>
      </c>
      <c r="AR426" t="s">
        <v>203</v>
      </c>
      <c r="AS426">
        <v>1</v>
      </c>
      <c r="AT426">
        <v>1.6299999999999999E-2</v>
      </c>
      <c r="AU426">
        <v>0.36980000000000002</v>
      </c>
      <c r="AV426">
        <v>104387.46</v>
      </c>
      <c r="AW426">
        <v>629.22</v>
      </c>
      <c r="AX426" t="b">
        <v>0</v>
      </c>
      <c r="AY426" t="b">
        <v>0</v>
      </c>
      <c r="AZ426" t="s">
        <v>80</v>
      </c>
      <c r="BA426">
        <v>0</v>
      </c>
      <c r="BB426">
        <v>0</v>
      </c>
      <c r="BC426">
        <v>0</v>
      </c>
      <c r="BD426">
        <v>0</v>
      </c>
      <c r="BE426" t="s">
        <v>81</v>
      </c>
      <c r="BF426" t="b">
        <v>1</v>
      </c>
    </row>
    <row r="427" spans="1:58" x14ac:dyDescent="0.3">
      <c r="A427" t="s">
        <v>1030</v>
      </c>
      <c r="B427" t="s">
        <v>67</v>
      </c>
      <c r="C427" t="s">
        <v>1031</v>
      </c>
      <c r="D427" t="s">
        <v>69</v>
      </c>
      <c r="E427" t="s">
        <v>70</v>
      </c>
      <c r="F427" t="s">
        <v>86</v>
      </c>
      <c r="G427" s="1">
        <v>45011</v>
      </c>
      <c r="H427" s="1">
        <v>45596</v>
      </c>
      <c r="I427" s="1">
        <v>46091</v>
      </c>
      <c r="J427">
        <v>1752000</v>
      </c>
      <c r="K427">
        <v>36</v>
      </c>
      <c r="L427">
        <v>17</v>
      </c>
      <c r="M427">
        <v>19</v>
      </c>
      <c r="N427">
        <v>13.58</v>
      </c>
      <c r="O427">
        <v>59522.44</v>
      </c>
      <c r="P427" t="s">
        <v>116</v>
      </c>
      <c r="Q427">
        <v>764974.63</v>
      </c>
      <c r="R427">
        <v>59522.44</v>
      </c>
      <c r="S427">
        <v>59528.85</v>
      </c>
      <c r="T427" s="1">
        <v>45583</v>
      </c>
      <c r="U427" t="s">
        <v>73</v>
      </c>
      <c r="V427">
        <v>0</v>
      </c>
      <c r="W427">
        <v>19</v>
      </c>
      <c r="X427">
        <v>19</v>
      </c>
      <c r="Y427">
        <v>0</v>
      </c>
      <c r="Z427">
        <v>0</v>
      </c>
      <c r="AA427">
        <v>0</v>
      </c>
      <c r="AB427" t="s">
        <v>111</v>
      </c>
      <c r="AC427" t="s">
        <v>197</v>
      </c>
      <c r="AD427">
        <v>2020</v>
      </c>
      <c r="AE427" t="s">
        <v>166</v>
      </c>
      <c r="AF427" t="b">
        <v>0</v>
      </c>
      <c r="AG427">
        <v>2030000</v>
      </c>
      <c r="AH427">
        <v>1456771.08</v>
      </c>
      <c r="AI427">
        <v>0.86299999999999999</v>
      </c>
      <c r="AJ427">
        <v>0.48809999999999998</v>
      </c>
      <c r="AK427">
        <v>49</v>
      </c>
      <c r="AL427" t="s">
        <v>132</v>
      </c>
      <c r="AM427">
        <v>2970000</v>
      </c>
      <c r="AN427">
        <v>0.24049999999999999</v>
      </c>
      <c r="AO427">
        <v>687</v>
      </c>
      <c r="AP427">
        <v>642</v>
      </c>
      <c r="AQ427" t="s">
        <v>100</v>
      </c>
      <c r="AR427" t="s">
        <v>229</v>
      </c>
      <c r="AS427">
        <v>1</v>
      </c>
      <c r="AT427">
        <v>2.2499999999999999E-2</v>
      </c>
      <c r="AU427">
        <v>0.59009999999999996</v>
      </c>
      <c r="AV427">
        <v>779242.32</v>
      </c>
      <c r="AW427">
        <v>10346.200000000001</v>
      </c>
      <c r="AX427" t="b">
        <v>0</v>
      </c>
      <c r="AY427" t="b">
        <v>0</v>
      </c>
      <c r="AZ427" t="s">
        <v>80</v>
      </c>
      <c r="BA427">
        <v>0</v>
      </c>
      <c r="BB427">
        <v>0</v>
      </c>
      <c r="BC427">
        <v>0</v>
      </c>
      <c r="BD427">
        <v>86212.01</v>
      </c>
      <c r="BE427" t="s">
        <v>108</v>
      </c>
      <c r="BF427" t="b">
        <v>0</v>
      </c>
    </row>
    <row r="428" spans="1:58" x14ac:dyDescent="0.3">
      <c r="A428" t="s">
        <v>1032</v>
      </c>
      <c r="B428" t="s">
        <v>67</v>
      </c>
      <c r="C428" t="s">
        <v>1033</v>
      </c>
      <c r="D428" t="s">
        <v>95</v>
      </c>
      <c r="E428" t="s">
        <v>96</v>
      </c>
      <c r="F428" t="s">
        <v>71</v>
      </c>
      <c r="G428" s="1">
        <v>45545</v>
      </c>
      <c r="H428" s="1">
        <v>45596</v>
      </c>
      <c r="I428" s="1">
        <v>48065</v>
      </c>
      <c r="J428">
        <v>1460200</v>
      </c>
      <c r="K428">
        <v>84</v>
      </c>
      <c r="L428">
        <v>83</v>
      </c>
      <c r="M428">
        <v>1</v>
      </c>
      <c r="N428">
        <v>8.8800000000000008</v>
      </c>
      <c r="O428">
        <v>23404.44</v>
      </c>
      <c r="P428" t="s">
        <v>72</v>
      </c>
      <c r="Q428">
        <v>1460200</v>
      </c>
      <c r="R428">
        <v>23404.44</v>
      </c>
      <c r="S428">
        <v>4758.4399999999996</v>
      </c>
      <c r="T428" s="1">
        <v>45580</v>
      </c>
      <c r="U428" t="s">
        <v>979</v>
      </c>
      <c r="V428">
        <v>421</v>
      </c>
      <c r="W428">
        <v>1</v>
      </c>
      <c r="X428">
        <v>0</v>
      </c>
      <c r="Y428">
        <v>3</v>
      </c>
      <c r="Z428">
        <v>1</v>
      </c>
      <c r="AA428">
        <v>1</v>
      </c>
      <c r="AB428" t="s">
        <v>97</v>
      </c>
      <c r="AC428" t="s">
        <v>152</v>
      </c>
      <c r="AD428">
        <v>2024</v>
      </c>
      <c r="AE428" t="s">
        <v>90</v>
      </c>
      <c r="AF428" t="b">
        <v>1</v>
      </c>
      <c r="AG428">
        <v>1793000</v>
      </c>
      <c r="AH428">
        <v>1595853.77</v>
      </c>
      <c r="AI428">
        <v>0.81440000000000001</v>
      </c>
      <c r="AJ428">
        <v>0.82430000000000003</v>
      </c>
      <c r="AK428">
        <v>24</v>
      </c>
      <c r="AL428" t="s">
        <v>120</v>
      </c>
      <c r="AM428">
        <v>4831000</v>
      </c>
      <c r="AN428">
        <v>5.8099999999999999E-2</v>
      </c>
      <c r="AO428">
        <v>801</v>
      </c>
      <c r="AP428">
        <v>821</v>
      </c>
      <c r="AQ428" t="s">
        <v>91</v>
      </c>
      <c r="AR428" t="s">
        <v>252</v>
      </c>
      <c r="AS428">
        <v>3</v>
      </c>
      <c r="AT428">
        <v>0.82410000000000005</v>
      </c>
      <c r="AU428">
        <v>0.44009999999999999</v>
      </c>
      <c r="AV428">
        <v>1507806.51</v>
      </c>
      <c r="AW428">
        <v>546860.93000000005</v>
      </c>
      <c r="AX428" t="b">
        <v>1</v>
      </c>
      <c r="AY428" t="b">
        <v>0</v>
      </c>
      <c r="AZ428" t="s">
        <v>80</v>
      </c>
      <c r="BA428">
        <v>793625</v>
      </c>
      <c r="BB428">
        <v>213710</v>
      </c>
      <c r="BC428">
        <v>579915</v>
      </c>
      <c r="BD428">
        <v>16112.06</v>
      </c>
      <c r="BE428" t="s">
        <v>108</v>
      </c>
      <c r="BF428" t="b">
        <v>0</v>
      </c>
    </row>
    <row r="429" spans="1:58" x14ac:dyDescent="0.3">
      <c r="A429" t="s">
        <v>1034</v>
      </c>
      <c r="B429" t="s">
        <v>67</v>
      </c>
      <c r="C429" t="s">
        <v>1035</v>
      </c>
      <c r="D429" t="s">
        <v>69</v>
      </c>
      <c r="E429" t="s">
        <v>70</v>
      </c>
      <c r="F429" t="s">
        <v>124</v>
      </c>
      <c r="G429" s="1">
        <v>44666</v>
      </c>
      <c r="H429" s="1">
        <v>45596</v>
      </c>
      <c r="I429" s="1">
        <v>45746</v>
      </c>
      <c r="J429">
        <v>868100</v>
      </c>
      <c r="K429">
        <v>36</v>
      </c>
      <c r="L429">
        <v>6</v>
      </c>
      <c r="M429">
        <v>30</v>
      </c>
      <c r="N429">
        <v>14.21</v>
      </c>
      <c r="O429">
        <v>29758.22</v>
      </c>
      <c r="P429" t="s">
        <v>72</v>
      </c>
      <c r="Q429">
        <v>147628.89000000001</v>
      </c>
      <c r="R429">
        <v>29758.22</v>
      </c>
      <c r="S429">
        <v>29248.68</v>
      </c>
      <c r="T429" s="1">
        <v>45581</v>
      </c>
      <c r="U429" t="s">
        <v>73</v>
      </c>
      <c r="V429">
        <v>0</v>
      </c>
      <c r="W429">
        <v>30</v>
      </c>
      <c r="X429">
        <v>30</v>
      </c>
      <c r="Y429">
        <v>0</v>
      </c>
      <c r="Z429">
        <v>0</v>
      </c>
      <c r="AA429">
        <v>0</v>
      </c>
      <c r="AB429" t="s">
        <v>117</v>
      </c>
      <c r="AC429" t="s">
        <v>118</v>
      </c>
      <c r="AD429">
        <v>2022</v>
      </c>
      <c r="AE429" t="s">
        <v>166</v>
      </c>
      <c r="AF429" t="b">
        <v>1</v>
      </c>
      <c r="AG429">
        <v>1445000</v>
      </c>
      <c r="AH429">
        <v>1007399.17</v>
      </c>
      <c r="AI429">
        <v>0.6008</v>
      </c>
      <c r="AJ429">
        <v>0.15959999999999999</v>
      </c>
      <c r="AK429">
        <v>58</v>
      </c>
      <c r="AL429" t="s">
        <v>120</v>
      </c>
      <c r="AM429">
        <v>377000</v>
      </c>
      <c r="AN429">
        <v>0.94720000000000004</v>
      </c>
      <c r="AO429">
        <v>837</v>
      </c>
      <c r="AP429">
        <v>826</v>
      </c>
      <c r="AQ429" t="s">
        <v>78</v>
      </c>
      <c r="AR429" t="s">
        <v>79</v>
      </c>
      <c r="AS429">
        <v>1</v>
      </c>
      <c r="AT429">
        <v>2.07E-2</v>
      </c>
      <c r="AU429">
        <v>0.4486</v>
      </c>
      <c r="AV429">
        <v>151652.24</v>
      </c>
      <c r="AW429">
        <v>1408.25</v>
      </c>
      <c r="AX429" t="b">
        <v>0</v>
      </c>
      <c r="AY429" t="b">
        <v>0</v>
      </c>
      <c r="AZ429" t="s">
        <v>80</v>
      </c>
      <c r="BA429">
        <v>0</v>
      </c>
      <c r="BB429">
        <v>0</v>
      </c>
      <c r="BC429">
        <v>0</v>
      </c>
      <c r="BD429">
        <v>0</v>
      </c>
      <c r="BE429" t="s">
        <v>81</v>
      </c>
      <c r="BF429" t="b">
        <v>1</v>
      </c>
    </row>
    <row r="430" spans="1:58" x14ac:dyDescent="0.3">
      <c r="A430" t="s">
        <v>1036</v>
      </c>
      <c r="B430" t="s">
        <v>67</v>
      </c>
      <c r="C430" t="s">
        <v>1037</v>
      </c>
      <c r="D430" t="s">
        <v>95</v>
      </c>
      <c r="E430" t="s">
        <v>96</v>
      </c>
      <c r="F430" t="s">
        <v>71</v>
      </c>
      <c r="G430" s="1">
        <v>44239</v>
      </c>
      <c r="H430" s="1">
        <v>45596</v>
      </c>
      <c r="I430" s="1">
        <v>46039</v>
      </c>
      <c r="J430">
        <v>882100</v>
      </c>
      <c r="K430">
        <v>60</v>
      </c>
      <c r="L430">
        <v>16</v>
      </c>
      <c r="M430">
        <v>44</v>
      </c>
      <c r="N430">
        <v>10.41</v>
      </c>
      <c r="O430">
        <v>18920.47</v>
      </c>
      <c r="P430" t="s">
        <v>72</v>
      </c>
      <c r="Q430">
        <v>243669.7</v>
      </c>
      <c r="R430">
        <v>18920.47</v>
      </c>
      <c r="S430">
        <v>18854.810000000001</v>
      </c>
      <c r="T430" s="1">
        <v>45589</v>
      </c>
      <c r="U430" t="s">
        <v>73</v>
      </c>
      <c r="V430">
        <v>0</v>
      </c>
      <c r="W430">
        <v>44</v>
      </c>
      <c r="X430">
        <v>44</v>
      </c>
      <c r="Y430">
        <v>0</v>
      </c>
      <c r="Z430">
        <v>0</v>
      </c>
      <c r="AA430">
        <v>0</v>
      </c>
      <c r="AB430" t="s">
        <v>74</v>
      </c>
      <c r="AC430" t="s">
        <v>420</v>
      </c>
      <c r="AD430">
        <v>2021</v>
      </c>
      <c r="AE430" t="s">
        <v>119</v>
      </c>
      <c r="AF430" t="b">
        <v>1</v>
      </c>
      <c r="AG430">
        <v>1256000</v>
      </c>
      <c r="AH430">
        <v>590607.92000000004</v>
      </c>
      <c r="AI430">
        <v>0.70230000000000004</v>
      </c>
      <c r="AJ430">
        <v>0.41099999999999998</v>
      </c>
      <c r="AK430">
        <v>35</v>
      </c>
      <c r="AL430" t="s">
        <v>106</v>
      </c>
      <c r="AM430">
        <v>4700000</v>
      </c>
      <c r="AN430">
        <v>4.8300000000000003E-2</v>
      </c>
      <c r="AO430">
        <v>729</v>
      </c>
      <c r="AP430">
        <v>748</v>
      </c>
      <c r="AQ430" t="s">
        <v>78</v>
      </c>
      <c r="AR430" t="s">
        <v>79</v>
      </c>
      <c r="AS430">
        <v>1</v>
      </c>
      <c r="AT430">
        <v>1.54E-2</v>
      </c>
      <c r="AU430">
        <v>0.4854</v>
      </c>
      <c r="AV430">
        <v>245149.25</v>
      </c>
      <c r="AW430">
        <v>1832.53</v>
      </c>
      <c r="AX430" t="b">
        <v>0</v>
      </c>
      <c r="AY430" t="b">
        <v>0</v>
      </c>
      <c r="AZ430" t="s">
        <v>80</v>
      </c>
      <c r="BA430">
        <v>0</v>
      </c>
      <c r="BB430">
        <v>0</v>
      </c>
      <c r="BC430">
        <v>0</v>
      </c>
      <c r="BD430">
        <v>0</v>
      </c>
      <c r="BE430" t="s">
        <v>108</v>
      </c>
      <c r="BF430" t="b">
        <v>0</v>
      </c>
    </row>
    <row r="431" spans="1:58" x14ac:dyDescent="0.3">
      <c r="A431" t="s">
        <v>1038</v>
      </c>
      <c r="B431" t="s">
        <v>67</v>
      </c>
      <c r="C431" t="s">
        <v>1039</v>
      </c>
      <c r="D431" t="s">
        <v>69</v>
      </c>
      <c r="E431" t="s">
        <v>70</v>
      </c>
      <c r="F431" t="s">
        <v>124</v>
      </c>
      <c r="G431" s="1">
        <v>45455</v>
      </c>
      <c r="H431" s="1">
        <v>45596</v>
      </c>
      <c r="I431" s="1">
        <v>46895</v>
      </c>
      <c r="J431">
        <v>478200</v>
      </c>
      <c r="K431">
        <v>48</v>
      </c>
      <c r="L431">
        <v>44</v>
      </c>
      <c r="M431">
        <v>4</v>
      </c>
      <c r="N431">
        <v>11.32</v>
      </c>
      <c r="O431">
        <v>12433.77</v>
      </c>
      <c r="P431" t="s">
        <v>72</v>
      </c>
      <c r="Q431">
        <v>410971.27</v>
      </c>
      <c r="R431">
        <v>12433.77</v>
      </c>
      <c r="S431">
        <v>9288.49</v>
      </c>
      <c r="T431" s="1">
        <v>45565</v>
      </c>
      <c r="U431" t="s">
        <v>380</v>
      </c>
      <c r="V431">
        <v>488</v>
      </c>
      <c r="W431">
        <v>4</v>
      </c>
      <c r="X431">
        <v>1</v>
      </c>
      <c r="Y431">
        <v>0</v>
      </c>
      <c r="Z431">
        <v>2</v>
      </c>
      <c r="AA431">
        <v>1</v>
      </c>
      <c r="AB431" t="s">
        <v>88</v>
      </c>
      <c r="AC431" t="s">
        <v>89</v>
      </c>
      <c r="AD431">
        <v>2024</v>
      </c>
      <c r="AE431" t="s">
        <v>99</v>
      </c>
      <c r="AF431" t="b">
        <v>1</v>
      </c>
      <c r="AG431">
        <v>650000</v>
      </c>
      <c r="AH431">
        <v>625910.97</v>
      </c>
      <c r="AI431">
        <v>0.73580000000000001</v>
      </c>
      <c r="AJ431">
        <v>0.66410000000000002</v>
      </c>
      <c r="AK431">
        <v>27</v>
      </c>
      <c r="AL431" t="s">
        <v>132</v>
      </c>
      <c r="AM431">
        <v>1289000</v>
      </c>
      <c r="AN431">
        <v>0.1158</v>
      </c>
      <c r="AO431">
        <v>783</v>
      </c>
      <c r="AP431">
        <v>801</v>
      </c>
      <c r="AQ431" t="s">
        <v>100</v>
      </c>
      <c r="AR431" t="s">
        <v>107</v>
      </c>
      <c r="AS431">
        <v>3</v>
      </c>
      <c r="AT431">
        <v>0.98950000000000005</v>
      </c>
      <c r="AU431">
        <v>0.57430000000000003</v>
      </c>
      <c r="AV431">
        <v>412345.98</v>
      </c>
      <c r="AW431">
        <v>234323.79</v>
      </c>
      <c r="AX431" t="b">
        <v>1</v>
      </c>
      <c r="AY431" t="b">
        <v>0</v>
      </c>
      <c r="AZ431" t="s">
        <v>80</v>
      </c>
      <c r="BA431">
        <v>0</v>
      </c>
      <c r="BB431">
        <v>0</v>
      </c>
      <c r="BC431">
        <v>0</v>
      </c>
      <c r="BD431">
        <v>0</v>
      </c>
      <c r="BE431" t="s">
        <v>108</v>
      </c>
      <c r="BF431" t="b">
        <v>1</v>
      </c>
    </row>
    <row r="432" spans="1:58" x14ac:dyDescent="0.3">
      <c r="A432" t="s">
        <v>1040</v>
      </c>
      <c r="B432" t="s">
        <v>67</v>
      </c>
      <c r="C432" t="s">
        <v>1041</v>
      </c>
      <c r="D432" t="s">
        <v>84</v>
      </c>
      <c r="E432" t="s">
        <v>85</v>
      </c>
      <c r="F432" t="s">
        <v>86</v>
      </c>
      <c r="G432" s="1">
        <v>45134</v>
      </c>
      <c r="H432" s="1">
        <v>45596</v>
      </c>
      <c r="I432" s="1">
        <v>46574</v>
      </c>
      <c r="J432">
        <v>1139700</v>
      </c>
      <c r="K432">
        <v>48</v>
      </c>
      <c r="L432">
        <v>33</v>
      </c>
      <c r="M432">
        <v>15</v>
      </c>
      <c r="N432">
        <v>7.53</v>
      </c>
      <c r="O432">
        <v>27572.65</v>
      </c>
      <c r="P432" t="s">
        <v>72</v>
      </c>
      <c r="Q432">
        <v>746962.61</v>
      </c>
      <c r="R432">
        <v>27572.65</v>
      </c>
      <c r="S432">
        <v>18135.400000000001</v>
      </c>
      <c r="T432" s="1">
        <v>45578</v>
      </c>
      <c r="U432" t="s">
        <v>87</v>
      </c>
      <c r="V432">
        <v>20</v>
      </c>
      <c r="W432">
        <v>15</v>
      </c>
      <c r="X432">
        <v>14</v>
      </c>
      <c r="Y432">
        <v>3</v>
      </c>
      <c r="Z432">
        <v>0</v>
      </c>
      <c r="AA432">
        <v>0</v>
      </c>
      <c r="AB432" t="s">
        <v>174</v>
      </c>
      <c r="AC432" t="s">
        <v>423</v>
      </c>
      <c r="AD432">
        <v>2023</v>
      </c>
      <c r="AE432" t="s">
        <v>76</v>
      </c>
      <c r="AF432" t="b">
        <v>1</v>
      </c>
      <c r="AG432">
        <v>1860000</v>
      </c>
      <c r="AH432">
        <v>1384557.89</v>
      </c>
      <c r="AI432">
        <v>0.61270000000000002</v>
      </c>
      <c r="AJ432">
        <v>0.48970000000000002</v>
      </c>
      <c r="AK432">
        <v>46</v>
      </c>
      <c r="AL432" t="s">
        <v>106</v>
      </c>
      <c r="AM432">
        <v>4285000</v>
      </c>
      <c r="AN432">
        <v>7.7200000000000005E-2</v>
      </c>
      <c r="AO432">
        <v>730</v>
      </c>
      <c r="AP432">
        <v>739</v>
      </c>
      <c r="AQ432" t="s">
        <v>145</v>
      </c>
      <c r="AR432" t="s">
        <v>176</v>
      </c>
      <c r="AS432">
        <v>1</v>
      </c>
      <c r="AT432">
        <v>1.54E-2</v>
      </c>
      <c r="AU432">
        <v>0.59319999999999995</v>
      </c>
      <c r="AV432">
        <v>776323.7</v>
      </c>
      <c r="AW432">
        <v>7091.93</v>
      </c>
      <c r="AX432" t="b">
        <v>0</v>
      </c>
      <c r="AY432" t="b">
        <v>0</v>
      </c>
      <c r="AZ432" t="s">
        <v>80</v>
      </c>
      <c r="BA432">
        <v>0</v>
      </c>
      <c r="BB432">
        <v>0</v>
      </c>
      <c r="BC432">
        <v>0</v>
      </c>
      <c r="BD432">
        <v>0</v>
      </c>
      <c r="BE432" t="s">
        <v>108</v>
      </c>
      <c r="BF432" t="b">
        <v>1</v>
      </c>
    </row>
    <row r="433" spans="1:58" x14ac:dyDescent="0.3">
      <c r="A433" t="s">
        <v>1042</v>
      </c>
      <c r="B433" t="s">
        <v>67</v>
      </c>
      <c r="C433" t="s">
        <v>1043</v>
      </c>
      <c r="D433" t="s">
        <v>95</v>
      </c>
      <c r="E433" t="s">
        <v>96</v>
      </c>
      <c r="F433" t="s">
        <v>86</v>
      </c>
      <c r="G433" s="1">
        <v>44415</v>
      </c>
      <c r="H433" s="1">
        <v>45596</v>
      </c>
      <c r="I433" s="1">
        <v>45855</v>
      </c>
      <c r="J433">
        <v>1393800</v>
      </c>
      <c r="K433">
        <v>48</v>
      </c>
      <c r="L433">
        <v>10</v>
      </c>
      <c r="M433">
        <v>38</v>
      </c>
      <c r="N433">
        <v>9.4600000000000009</v>
      </c>
      <c r="O433">
        <v>34990.01</v>
      </c>
      <c r="P433" t="s">
        <v>72</v>
      </c>
      <c r="Q433">
        <v>298348.86</v>
      </c>
      <c r="R433">
        <v>34990.01</v>
      </c>
      <c r="S433">
        <v>7740.21</v>
      </c>
      <c r="T433" s="1">
        <v>45561</v>
      </c>
      <c r="U433" t="s">
        <v>380</v>
      </c>
      <c r="V433">
        <v>230</v>
      </c>
      <c r="W433">
        <v>38</v>
      </c>
      <c r="X433">
        <v>32</v>
      </c>
      <c r="Y433">
        <v>0</v>
      </c>
      <c r="Z433">
        <v>1</v>
      </c>
      <c r="AA433">
        <v>0</v>
      </c>
      <c r="AB433" t="s">
        <v>117</v>
      </c>
      <c r="AC433" t="s">
        <v>621</v>
      </c>
      <c r="AD433">
        <v>2021</v>
      </c>
      <c r="AE433" t="s">
        <v>76</v>
      </c>
      <c r="AF433" t="b">
        <v>1</v>
      </c>
      <c r="AG433">
        <v>1574000</v>
      </c>
      <c r="AH433">
        <v>899897.76</v>
      </c>
      <c r="AI433">
        <v>0.88549999999999995</v>
      </c>
      <c r="AJ433">
        <v>0.34839999999999999</v>
      </c>
      <c r="AK433">
        <v>58</v>
      </c>
      <c r="AL433" t="s">
        <v>106</v>
      </c>
      <c r="AM433">
        <v>1957000</v>
      </c>
      <c r="AN433">
        <v>0.21460000000000001</v>
      </c>
      <c r="AO433">
        <v>726</v>
      </c>
      <c r="AP433">
        <v>728</v>
      </c>
      <c r="AQ433" t="s">
        <v>145</v>
      </c>
      <c r="AR433" t="s">
        <v>146</v>
      </c>
      <c r="AS433">
        <v>3</v>
      </c>
      <c r="AT433">
        <v>0.75729999999999997</v>
      </c>
      <c r="AU433">
        <v>0.3871</v>
      </c>
      <c r="AV433">
        <v>306947.44</v>
      </c>
      <c r="AW433">
        <v>89981.9</v>
      </c>
      <c r="AX433" t="b">
        <v>1</v>
      </c>
      <c r="AY433" t="b">
        <v>0</v>
      </c>
      <c r="AZ433" t="s">
        <v>80</v>
      </c>
      <c r="BA433">
        <v>0</v>
      </c>
      <c r="BB433">
        <v>0</v>
      </c>
      <c r="BC433">
        <v>0</v>
      </c>
      <c r="BD433">
        <v>0</v>
      </c>
      <c r="BE433" t="s">
        <v>81</v>
      </c>
      <c r="BF433" t="b">
        <v>1</v>
      </c>
    </row>
    <row r="434" spans="1:58" x14ac:dyDescent="0.3">
      <c r="A434" t="s">
        <v>1044</v>
      </c>
      <c r="B434" t="s">
        <v>67</v>
      </c>
      <c r="C434" t="s">
        <v>1045</v>
      </c>
      <c r="D434" t="s">
        <v>69</v>
      </c>
      <c r="E434" t="s">
        <v>70</v>
      </c>
      <c r="F434" t="s">
        <v>115</v>
      </c>
      <c r="G434" s="1">
        <v>44360</v>
      </c>
      <c r="H434" s="1">
        <v>45596</v>
      </c>
      <c r="I434" s="1">
        <v>45440</v>
      </c>
      <c r="J434">
        <v>793900</v>
      </c>
      <c r="K434">
        <v>36</v>
      </c>
      <c r="L434">
        <v>0</v>
      </c>
      <c r="M434">
        <v>40</v>
      </c>
      <c r="N434">
        <v>9.68</v>
      </c>
      <c r="O434">
        <v>25497.81</v>
      </c>
      <c r="P434" t="s">
        <v>72</v>
      </c>
      <c r="Q434">
        <v>0</v>
      </c>
      <c r="R434">
        <v>25497.81</v>
      </c>
      <c r="S434">
        <v>9593.6200000000008</v>
      </c>
      <c r="T434" s="1">
        <v>45588</v>
      </c>
      <c r="U434" t="s">
        <v>143</v>
      </c>
      <c r="V434">
        <v>45</v>
      </c>
      <c r="W434">
        <v>40</v>
      </c>
      <c r="X434">
        <v>36</v>
      </c>
      <c r="Y434">
        <v>1</v>
      </c>
      <c r="Z434">
        <v>2</v>
      </c>
      <c r="AA434">
        <v>0</v>
      </c>
      <c r="AB434" t="s">
        <v>97</v>
      </c>
      <c r="AC434" t="s">
        <v>152</v>
      </c>
      <c r="AD434">
        <v>2021</v>
      </c>
      <c r="AE434" t="s">
        <v>119</v>
      </c>
      <c r="AF434" t="b">
        <v>1</v>
      </c>
      <c r="AG434">
        <v>1071000</v>
      </c>
      <c r="AH434">
        <v>520093.06</v>
      </c>
      <c r="AI434">
        <v>0.74129999999999996</v>
      </c>
      <c r="AJ434">
        <v>0</v>
      </c>
      <c r="AK434">
        <v>46</v>
      </c>
      <c r="AL434" t="s">
        <v>106</v>
      </c>
      <c r="AM434">
        <v>1202000</v>
      </c>
      <c r="AN434">
        <v>0.25459999999999999</v>
      </c>
      <c r="AO434">
        <v>674</v>
      </c>
      <c r="AP434">
        <v>699</v>
      </c>
      <c r="AQ434" t="s">
        <v>145</v>
      </c>
      <c r="AR434" t="s">
        <v>146</v>
      </c>
      <c r="AS434">
        <v>2</v>
      </c>
      <c r="AT434">
        <v>0.1081</v>
      </c>
      <c r="AU434">
        <v>0.40550000000000003</v>
      </c>
      <c r="AV434">
        <v>0</v>
      </c>
      <c r="AW434">
        <v>0</v>
      </c>
      <c r="AX434" t="b">
        <v>0</v>
      </c>
      <c r="AY434" t="b">
        <v>0</v>
      </c>
      <c r="AZ434" t="s">
        <v>80</v>
      </c>
      <c r="BA434">
        <v>0</v>
      </c>
      <c r="BB434">
        <v>0</v>
      </c>
      <c r="BC434">
        <v>0</v>
      </c>
      <c r="BD434">
        <v>0</v>
      </c>
      <c r="BE434" t="s">
        <v>81</v>
      </c>
      <c r="BF434" t="b">
        <v>1</v>
      </c>
    </row>
    <row r="435" spans="1:58" x14ac:dyDescent="0.3">
      <c r="A435" t="s">
        <v>1046</v>
      </c>
      <c r="B435" t="s">
        <v>67</v>
      </c>
      <c r="C435" t="s">
        <v>1047</v>
      </c>
      <c r="D435" t="s">
        <v>69</v>
      </c>
      <c r="E435" t="s">
        <v>70</v>
      </c>
      <c r="F435" t="s">
        <v>115</v>
      </c>
      <c r="G435" s="1">
        <v>45240</v>
      </c>
      <c r="H435" s="1">
        <v>45596</v>
      </c>
      <c r="I435" s="1">
        <v>47760</v>
      </c>
      <c r="J435">
        <v>1516400</v>
      </c>
      <c r="K435">
        <v>84</v>
      </c>
      <c r="L435">
        <v>73</v>
      </c>
      <c r="M435">
        <v>11</v>
      </c>
      <c r="N435">
        <v>9.17</v>
      </c>
      <c r="O435">
        <v>24528.51</v>
      </c>
      <c r="P435" t="s">
        <v>139</v>
      </c>
      <c r="Q435">
        <v>1270986.33</v>
      </c>
      <c r="R435">
        <v>24528.51</v>
      </c>
      <c r="S435">
        <v>11385.23</v>
      </c>
      <c r="T435" s="1">
        <v>45581</v>
      </c>
      <c r="U435" t="s">
        <v>140</v>
      </c>
      <c r="V435">
        <v>188</v>
      </c>
      <c r="W435">
        <v>11</v>
      </c>
      <c r="X435">
        <v>9</v>
      </c>
      <c r="Y435">
        <v>3</v>
      </c>
      <c r="Z435">
        <v>1</v>
      </c>
      <c r="AA435">
        <v>2</v>
      </c>
      <c r="AB435" t="s">
        <v>125</v>
      </c>
      <c r="AC435" t="s">
        <v>144</v>
      </c>
      <c r="AD435">
        <v>2018</v>
      </c>
      <c r="AE435" t="s">
        <v>119</v>
      </c>
      <c r="AF435" t="b">
        <v>0</v>
      </c>
      <c r="AG435">
        <v>1695000</v>
      </c>
      <c r="AH435">
        <v>1363107.26</v>
      </c>
      <c r="AI435">
        <v>0.89459999999999995</v>
      </c>
      <c r="AJ435">
        <v>0.8639</v>
      </c>
      <c r="AK435">
        <v>46</v>
      </c>
      <c r="AL435" t="s">
        <v>77</v>
      </c>
      <c r="AM435">
        <v>4178000</v>
      </c>
      <c r="AN435">
        <v>7.0499999999999993E-2</v>
      </c>
      <c r="AO435">
        <v>724</v>
      </c>
      <c r="AP435">
        <v>718</v>
      </c>
      <c r="AQ435" t="s">
        <v>100</v>
      </c>
      <c r="AR435" t="s">
        <v>107</v>
      </c>
      <c r="AS435">
        <v>3</v>
      </c>
      <c r="AT435">
        <v>0.80179999999999996</v>
      </c>
      <c r="AU435">
        <v>0.4073</v>
      </c>
      <c r="AV435">
        <v>1287060.25</v>
      </c>
      <c r="AW435">
        <v>420319.31</v>
      </c>
      <c r="AX435" t="b">
        <v>0</v>
      </c>
      <c r="AY435" t="b">
        <v>0</v>
      </c>
      <c r="AZ435" t="s">
        <v>80</v>
      </c>
      <c r="BA435">
        <v>0</v>
      </c>
      <c r="BB435">
        <v>0</v>
      </c>
      <c r="BC435">
        <v>0</v>
      </c>
      <c r="BD435">
        <v>0</v>
      </c>
      <c r="BE435" t="s">
        <v>108</v>
      </c>
      <c r="BF435" t="b">
        <v>1</v>
      </c>
    </row>
    <row r="436" spans="1:58" x14ac:dyDescent="0.3">
      <c r="A436" t="s">
        <v>1048</v>
      </c>
      <c r="B436" t="s">
        <v>67</v>
      </c>
      <c r="C436" t="s">
        <v>1049</v>
      </c>
      <c r="D436" t="s">
        <v>95</v>
      </c>
      <c r="E436" t="s">
        <v>96</v>
      </c>
      <c r="F436" t="s">
        <v>86</v>
      </c>
      <c r="G436" s="1">
        <v>44279</v>
      </c>
      <c r="H436" s="1">
        <v>45596</v>
      </c>
      <c r="I436" s="1">
        <v>45719</v>
      </c>
      <c r="J436">
        <v>601900</v>
      </c>
      <c r="K436">
        <v>48</v>
      </c>
      <c r="L436">
        <v>5</v>
      </c>
      <c r="M436">
        <v>43</v>
      </c>
      <c r="N436">
        <v>9.44</v>
      </c>
      <c r="O436">
        <v>15104.38</v>
      </c>
      <c r="P436" t="s">
        <v>72</v>
      </c>
      <c r="Q436">
        <v>57487.22</v>
      </c>
      <c r="R436">
        <v>15104.38</v>
      </c>
      <c r="S436">
        <v>15645.29</v>
      </c>
      <c r="T436" s="1">
        <v>45581</v>
      </c>
      <c r="U436" t="s">
        <v>73</v>
      </c>
      <c r="V436">
        <v>0</v>
      </c>
      <c r="W436">
        <v>43</v>
      </c>
      <c r="X436">
        <v>43</v>
      </c>
      <c r="Y436">
        <v>0</v>
      </c>
      <c r="Z436">
        <v>0</v>
      </c>
      <c r="AA436">
        <v>0</v>
      </c>
      <c r="AB436" t="s">
        <v>125</v>
      </c>
      <c r="AC436" t="s">
        <v>191</v>
      </c>
      <c r="AD436">
        <v>2021</v>
      </c>
      <c r="AE436" t="s">
        <v>99</v>
      </c>
      <c r="AF436" t="b">
        <v>1</v>
      </c>
      <c r="AG436">
        <v>931000</v>
      </c>
      <c r="AH436">
        <v>449694.98</v>
      </c>
      <c r="AI436">
        <v>0.64649999999999996</v>
      </c>
      <c r="AJ436">
        <v>0.12759999999999999</v>
      </c>
      <c r="AK436">
        <v>38</v>
      </c>
      <c r="AL436" t="s">
        <v>132</v>
      </c>
      <c r="AM436">
        <v>436000</v>
      </c>
      <c r="AN436">
        <v>0.41570000000000001</v>
      </c>
      <c r="AO436">
        <v>677</v>
      </c>
      <c r="AP436">
        <v>670</v>
      </c>
      <c r="AQ436" t="s">
        <v>100</v>
      </c>
      <c r="AR436" t="s">
        <v>107</v>
      </c>
      <c r="AS436">
        <v>1</v>
      </c>
      <c r="AT436">
        <v>1.9300000000000001E-2</v>
      </c>
      <c r="AU436">
        <v>0.41049999999999998</v>
      </c>
      <c r="AV436">
        <v>59312.59</v>
      </c>
      <c r="AW436">
        <v>469.91</v>
      </c>
      <c r="AX436" t="b">
        <v>0</v>
      </c>
      <c r="AY436" t="b">
        <v>0</v>
      </c>
      <c r="AZ436" t="s">
        <v>80</v>
      </c>
      <c r="BA436">
        <v>0</v>
      </c>
      <c r="BB436">
        <v>0</v>
      </c>
      <c r="BC436">
        <v>0</v>
      </c>
      <c r="BD436">
        <v>0</v>
      </c>
      <c r="BE436" t="s">
        <v>108</v>
      </c>
      <c r="BF436" t="b">
        <v>1</v>
      </c>
    </row>
    <row r="437" spans="1:58" x14ac:dyDescent="0.3">
      <c r="A437" t="s">
        <v>1050</v>
      </c>
      <c r="B437" t="s">
        <v>67</v>
      </c>
      <c r="C437" t="s">
        <v>1051</v>
      </c>
      <c r="D437" t="s">
        <v>95</v>
      </c>
      <c r="E437" t="s">
        <v>96</v>
      </c>
      <c r="F437" t="s">
        <v>71</v>
      </c>
      <c r="G437" s="1">
        <v>44757</v>
      </c>
      <c r="H437" s="1">
        <v>45596</v>
      </c>
      <c r="I437" s="1">
        <v>45837</v>
      </c>
      <c r="J437">
        <v>1275300</v>
      </c>
      <c r="K437">
        <v>36</v>
      </c>
      <c r="L437">
        <v>9</v>
      </c>
      <c r="M437">
        <v>27</v>
      </c>
      <c r="N437">
        <v>12.74</v>
      </c>
      <c r="O437">
        <v>42810.36</v>
      </c>
      <c r="P437" t="s">
        <v>72</v>
      </c>
      <c r="Q437">
        <v>312015.63</v>
      </c>
      <c r="R437">
        <v>42810.36</v>
      </c>
      <c r="S437">
        <v>42545.49</v>
      </c>
      <c r="T437" s="1">
        <v>45588</v>
      </c>
      <c r="U437" t="s">
        <v>73</v>
      </c>
      <c r="V437">
        <v>0</v>
      </c>
      <c r="W437">
        <v>27</v>
      </c>
      <c r="X437">
        <v>27</v>
      </c>
      <c r="Y437">
        <v>0</v>
      </c>
      <c r="Z437">
        <v>0</v>
      </c>
      <c r="AA437">
        <v>0</v>
      </c>
      <c r="AB437" t="s">
        <v>174</v>
      </c>
      <c r="AC437" t="s">
        <v>305</v>
      </c>
      <c r="AD437">
        <v>2022</v>
      </c>
      <c r="AE437" t="s">
        <v>166</v>
      </c>
      <c r="AF437" t="b">
        <v>1</v>
      </c>
      <c r="AG437">
        <v>2052000</v>
      </c>
      <c r="AH437">
        <v>1253193.56</v>
      </c>
      <c r="AI437">
        <v>0.62150000000000005</v>
      </c>
      <c r="AJ437">
        <v>0.22489999999999999</v>
      </c>
      <c r="AK437">
        <v>50</v>
      </c>
      <c r="AL437" t="s">
        <v>132</v>
      </c>
      <c r="AM437">
        <v>766000</v>
      </c>
      <c r="AN437">
        <v>0.67069999999999996</v>
      </c>
      <c r="AO437">
        <v>721</v>
      </c>
      <c r="AP437">
        <v>693</v>
      </c>
      <c r="AQ437" t="s">
        <v>127</v>
      </c>
      <c r="AR437" t="s">
        <v>128</v>
      </c>
      <c r="AS437">
        <v>1</v>
      </c>
      <c r="AT437">
        <v>2.23E-2</v>
      </c>
      <c r="AU437">
        <v>0.43269999999999997</v>
      </c>
      <c r="AV437">
        <v>319454.63</v>
      </c>
      <c r="AW437">
        <v>3082.48</v>
      </c>
      <c r="AX437" t="b">
        <v>0</v>
      </c>
      <c r="AY437" t="b">
        <v>0</v>
      </c>
      <c r="AZ437" t="s">
        <v>80</v>
      </c>
      <c r="BA437">
        <v>0</v>
      </c>
      <c r="BB437">
        <v>0</v>
      </c>
      <c r="BC437">
        <v>0</v>
      </c>
      <c r="BD437">
        <v>0</v>
      </c>
      <c r="BE437" t="s">
        <v>81</v>
      </c>
      <c r="BF437" t="b">
        <v>1</v>
      </c>
    </row>
    <row r="438" spans="1:58" x14ac:dyDescent="0.3">
      <c r="A438" t="s">
        <v>1052</v>
      </c>
      <c r="B438" t="s">
        <v>67</v>
      </c>
      <c r="C438" t="s">
        <v>1053</v>
      </c>
      <c r="D438" t="s">
        <v>84</v>
      </c>
      <c r="E438" t="s">
        <v>85</v>
      </c>
      <c r="F438" t="s">
        <v>71</v>
      </c>
      <c r="G438" s="1">
        <v>44677</v>
      </c>
      <c r="H438" s="1">
        <v>45596</v>
      </c>
      <c r="I438" s="1">
        <v>45757</v>
      </c>
      <c r="J438">
        <v>1168800</v>
      </c>
      <c r="K438">
        <v>36</v>
      </c>
      <c r="L438">
        <v>6</v>
      </c>
      <c r="M438">
        <v>30</v>
      </c>
      <c r="N438">
        <v>9.3699999999999992</v>
      </c>
      <c r="O438">
        <v>37369.120000000003</v>
      </c>
      <c r="P438" t="s">
        <v>72</v>
      </c>
      <c r="Q438">
        <v>186155.77</v>
      </c>
      <c r="R438">
        <v>37369.120000000003</v>
      </c>
      <c r="S438">
        <v>38376.910000000003</v>
      </c>
      <c r="T438" s="1">
        <v>45570</v>
      </c>
      <c r="U438" t="s">
        <v>73</v>
      </c>
      <c r="V438">
        <v>0</v>
      </c>
      <c r="W438">
        <v>30</v>
      </c>
      <c r="X438">
        <v>30</v>
      </c>
      <c r="Y438">
        <v>0</v>
      </c>
      <c r="Z438">
        <v>0</v>
      </c>
      <c r="AA438">
        <v>0</v>
      </c>
      <c r="AB438" t="s">
        <v>164</v>
      </c>
      <c r="AC438" t="s">
        <v>165</v>
      </c>
      <c r="AD438">
        <v>2022</v>
      </c>
      <c r="AE438" t="s">
        <v>90</v>
      </c>
      <c r="AF438" t="b">
        <v>1</v>
      </c>
      <c r="AG438">
        <v>1261000</v>
      </c>
      <c r="AH438">
        <v>818007.85</v>
      </c>
      <c r="AI438">
        <v>0.92689999999999995</v>
      </c>
      <c r="AJ438">
        <v>0.23069999999999999</v>
      </c>
      <c r="AK438">
        <v>30</v>
      </c>
      <c r="AL438" t="s">
        <v>106</v>
      </c>
      <c r="AM438">
        <v>2873000</v>
      </c>
      <c r="AN438">
        <v>0.15609999999999999</v>
      </c>
      <c r="AO438">
        <v>729</v>
      </c>
      <c r="AP438">
        <v>730</v>
      </c>
      <c r="AQ438" t="s">
        <v>145</v>
      </c>
      <c r="AR438" t="s">
        <v>146</v>
      </c>
      <c r="AS438">
        <v>1</v>
      </c>
      <c r="AT438">
        <v>2.1499999999999998E-2</v>
      </c>
      <c r="AU438">
        <v>0.64319999999999999</v>
      </c>
      <c r="AV438">
        <v>186187.15</v>
      </c>
      <c r="AW438">
        <v>2574.7399999999998</v>
      </c>
      <c r="AX438" t="b">
        <v>0</v>
      </c>
      <c r="AY438" t="b">
        <v>0</v>
      </c>
      <c r="AZ438" t="s">
        <v>80</v>
      </c>
      <c r="BA438">
        <v>0</v>
      </c>
      <c r="BB438">
        <v>0</v>
      </c>
      <c r="BC438">
        <v>0</v>
      </c>
      <c r="BD438">
        <v>0</v>
      </c>
      <c r="BE438" t="s">
        <v>108</v>
      </c>
      <c r="BF438" t="b">
        <v>1</v>
      </c>
    </row>
    <row r="439" spans="1:58" x14ac:dyDescent="0.3">
      <c r="A439" t="s">
        <v>1054</v>
      </c>
      <c r="B439" t="s">
        <v>67</v>
      </c>
      <c r="C439" t="s">
        <v>1055</v>
      </c>
      <c r="D439" t="s">
        <v>84</v>
      </c>
      <c r="E439" t="s">
        <v>85</v>
      </c>
      <c r="F439" t="s">
        <v>115</v>
      </c>
      <c r="G439" s="1">
        <v>44199</v>
      </c>
      <c r="H439" s="1">
        <v>45596</v>
      </c>
      <c r="I439" s="1">
        <v>45999</v>
      </c>
      <c r="J439">
        <v>2055900</v>
      </c>
      <c r="K439">
        <v>60</v>
      </c>
      <c r="L439">
        <v>15</v>
      </c>
      <c r="M439">
        <v>45</v>
      </c>
      <c r="N439">
        <v>11.6</v>
      </c>
      <c r="O439">
        <v>45317.88</v>
      </c>
      <c r="P439" t="s">
        <v>72</v>
      </c>
      <c r="Q439">
        <v>511059.25</v>
      </c>
      <c r="R439">
        <v>45317.88</v>
      </c>
      <c r="S439">
        <v>7430.66</v>
      </c>
      <c r="T439" s="1">
        <v>45570</v>
      </c>
      <c r="U439" t="s">
        <v>87</v>
      </c>
      <c r="V439">
        <v>12</v>
      </c>
      <c r="W439">
        <v>45</v>
      </c>
      <c r="X439">
        <v>44</v>
      </c>
      <c r="Y439">
        <v>1</v>
      </c>
      <c r="Z439">
        <v>0</v>
      </c>
      <c r="AA439">
        <v>0</v>
      </c>
      <c r="AB439" t="s">
        <v>164</v>
      </c>
      <c r="AC439" t="s">
        <v>279</v>
      </c>
      <c r="AD439">
        <v>2021</v>
      </c>
      <c r="AE439" t="s">
        <v>119</v>
      </c>
      <c r="AF439" t="b">
        <v>1</v>
      </c>
      <c r="AG439">
        <v>2746000</v>
      </c>
      <c r="AH439">
        <v>1271997.25</v>
      </c>
      <c r="AI439">
        <v>0.74870000000000003</v>
      </c>
      <c r="AJ439">
        <v>0.40460000000000002</v>
      </c>
      <c r="AK439">
        <v>63</v>
      </c>
      <c r="AL439" t="s">
        <v>106</v>
      </c>
      <c r="AM439">
        <v>2676000</v>
      </c>
      <c r="AN439">
        <v>0.20319999999999999</v>
      </c>
      <c r="AO439">
        <v>700</v>
      </c>
      <c r="AP439">
        <v>681</v>
      </c>
      <c r="AQ439" t="s">
        <v>91</v>
      </c>
      <c r="AR439" t="s">
        <v>92</v>
      </c>
      <c r="AS439">
        <v>1</v>
      </c>
      <c r="AT439">
        <v>2.23E-2</v>
      </c>
      <c r="AU439">
        <v>0.38100000000000001</v>
      </c>
      <c r="AV439">
        <v>533952.80000000005</v>
      </c>
      <c r="AW439">
        <v>4536.62</v>
      </c>
      <c r="AX439" t="b">
        <v>0</v>
      </c>
      <c r="AY439" t="b">
        <v>0</v>
      </c>
      <c r="AZ439" t="s">
        <v>80</v>
      </c>
      <c r="BA439">
        <v>0</v>
      </c>
      <c r="BB439">
        <v>0</v>
      </c>
      <c r="BC439">
        <v>0</v>
      </c>
      <c r="BD439">
        <v>0</v>
      </c>
      <c r="BE439" t="s">
        <v>108</v>
      </c>
      <c r="BF439" t="b">
        <v>0</v>
      </c>
    </row>
    <row r="440" spans="1:58" x14ac:dyDescent="0.3">
      <c r="A440" t="s">
        <v>1056</v>
      </c>
      <c r="B440" t="s">
        <v>67</v>
      </c>
      <c r="C440" t="s">
        <v>1057</v>
      </c>
      <c r="D440" t="s">
        <v>84</v>
      </c>
      <c r="E440" t="s">
        <v>85</v>
      </c>
      <c r="F440" t="s">
        <v>71</v>
      </c>
      <c r="G440" s="1">
        <v>44345</v>
      </c>
      <c r="H440" s="1">
        <v>45596</v>
      </c>
      <c r="I440" s="1">
        <v>45785</v>
      </c>
      <c r="J440">
        <v>767300</v>
      </c>
      <c r="K440">
        <v>48</v>
      </c>
      <c r="L440">
        <v>7</v>
      </c>
      <c r="M440">
        <v>41</v>
      </c>
      <c r="N440">
        <v>9.0299999999999994</v>
      </c>
      <c r="O440">
        <v>19105.23</v>
      </c>
      <c r="P440" t="s">
        <v>72</v>
      </c>
      <c r="Q440">
        <v>102333.83</v>
      </c>
      <c r="R440">
        <v>19105.23</v>
      </c>
      <c r="S440">
        <v>19919.55</v>
      </c>
      <c r="T440" s="1">
        <v>45565</v>
      </c>
      <c r="U440" t="s">
        <v>73</v>
      </c>
      <c r="V440">
        <v>0</v>
      </c>
      <c r="W440">
        <v>41</v>
      </c>
      <c r="X440">
        <v>41</v>
      </c>
      <c r="Y440">
        <v>0</v>
      </c>
      <c r="Z440">
        <v>0</v>
      </c>
      <c r="AA440">
        <v>0</v>
      </c>
      <c r="AB440" t="s">
        <v>74</v>
      </c>
      <c r="AC440" t="s">
        <v>212</v>
      </c>
      <c r="AD440">
        <v>2021</v>
      </c>
      <c r="AE440" t="s">
        <v>90</v>
      </c>
      <c r="AF440" t="b">
        <v>1</v>
      </c>
      <c r="AG440">
        <v>1185000</v>
      </c>
      <c r="AH440">
        <v>640153.41</v>
      </c>
      <c r="AI440">
        <v>0.64749999999999996</v>
      </c>
      <c r="AJ440">
        <v>0.17</v>
      </c>
      <c r="AK440">
        <v>25</v>
      </c>
      <c r="AL440" t="s">
        <v>120</v>
      </c>
      <c r="AM440">
        <v>865000</v>
      </c>
      <c r="AN440">
        <v>0.26500000000000001</v>
      </c>
      <c r="AO440">
        <v>721</v>
      </c>
      <c r="AP440">
        <v>746</v>
      </c>
      <c r="AQ440" t="s">
        <v>127</v>
      </c>
      <c r="AR440" t="s">
        <v>153</v>
      </c>
      <c r="AS440">
        <v>1</v>
      </c>
      <c r="AT440">
        <v>1.4500000000000001E-2</v>
      </c>
      <c r="AU440">
        <v>0.55669999999999997</v>
      </c>
      <c r="AV440">
        <v>105102.34</v>
      </c>
      <c r="AW440">
        <v>848.4</v>
      </c>
      <c r="AX440" t="b">
        <v>0</v>
      </c>
      <c r="AY440" t="b">
        <v>0</v>
      </c>
      <c r="AZ440" t="s">
        <v>80</v>
      </c>
      <c r="BA440">
        <v>0</v>
      </c>
      <c r="BB440">
        <v>0</v>
      </c>
      <c r="BC440">
        <v>0</v>
      </c>
      <c r="BD440">
        <v>0</v>
      </c>
      <c r="BE440" t="s">
        <v>81</v>
      </c>
      <c r="BF440" t="b">
        <v>1</v>
      </c>
    </row>
    <row r="441" spans="1:58" x14ac:dyDescent="0.3">
      <c r="A441" t="s">
        <v>1058</v>
      </c>
      <c r="B441" t="s">
        <v>67</v>
      </c>
      <c r="C441" t="s">
        <v>1059</v>
      </c>
      <c r="D441" t="s">
        <v>95</v>
      </c>
      <c r="E441" t="s">
        <v>96</v>
      </c>
      <c r="F441" t="s">
        <v>115</v>
      </c>
      <c r="G441" s="1">
        <v>44640</v>
      </c>
      <c r="H441" s="1">
        <v>45596</v>
      </c>
      <c r="I441" s="1">
        <v>46440</v>
      </c>
      <c r="J441">
        <v>384000</v>
      </c>
      <c r="K441">
        <v>60</v>
      </c>
      <c r="L441">
        <v>29</v>
      </c>
      <c r="M441">
        <v>31</v>
      </c>
      <c r="N441">
        <v>12.77</v>
      </c>
      <c r="O441">
        <v>8692.0300000000007</v>
      </c>
      <c r="P441" t="s">
        <v>139</v>
      </c>
      <c r="Q441">
        <v>182527.03</v>
      </c>
      <c r="R441">
        <v>8692.0300000000007</v>
      </c>
      <c r="S441">
        <v>1419.68</v>
      </c>
      <c r="T441" s="1">
        <v>45577</v>
      </c>
      <c r="U441" t="s">
        <v>87</v>
      </c>
      <c r="V441">
        <v>8</v>
      </c>
      <c r="W441">
        <v>31</v>
      </c>
      <c r="X441">
        <v>30</v>
      </c>
      <c r="Y441">
        <v>1</v>
      </c>
      <c r="Z441">
        <v>0</v>
      </c>
      <c r="AA441">
        <v>0</v>
      </c>
      <c r="AB441" t="s">
        <v>174</v>
      </c>
      <c r="AC441" t="s">
        <v>423</v>
      </c>
      <c r="AD441">
        <v>2017</v>
      </c>
      <c r="AE441" t="s">
        <v>90</v>
      </c>
      <c r="AF441" t="b">
        <v>0</v>
      </c>
      <c r="AG441">
        <v>640000</v>
      </c>
      <c r="AH441">
        <v>428828.25</v>
      </c>
      <c r="AI441">
        <v>0.6</v>
      </c>
      <c r="AJ441">
        <v>0.4541</v>
      </c>
      <c r="AK441">
        <v>25</v>
      </c>
      <c r="AL441" t="s">
        <v>132</v>
      </c>
      <c r="AM441">
        <v>1886000</v>
      </c>
      <c r="AN441">
        <v>5.5300000000000002E-2</v>
      </c>
      <c r="AO441">
        <v>820</v>
      </c>
      <c r="AP441">
        <v>805</v>
      </c>
      <c r="AQ441" t="s">
        <v>100</v>
      </c>
      <c r="AR441" t="s">
        <v>229</v>
      </c>
      <c r="AS441">
        <v>1</v>
      </c>
      <c r="AT441">
        <v>2.1899999999999999E-2</v>
      </c>
      <c r="AU441">
        <v>0.41770000000000002</v>
      </c>
      <c r="AV441">
        <v>183754.66</v>
      </c>
      <c r="AW441">
        <v>1680.92</v>
      </c>
      <c r="AX441" t="b">
        <v>0</v>
      </c>
      <c r="AY441" t="b">
        <v>0</v>
      </c>
      <c r="AZ441" t="s">
        <v>80</v>
      </c>
      <c r="BA441">
        <v>0</v>
      </c>
      <c r="BB441">
        <v>0</v>
      </c>
      <c r="BC441">
        <v>0</v>
      </c>
      <c r="BD441">
        <v>0</v>
      </c>
      <c r="BE441" t="s">
        <v>108</v>
      </c>
      <c r="BF441" t="b">
        <v>0</v>
      </c>
    </row>
    <row r="442" spans="1:58" x14ac:dyDescent="0.3">
      <c r="A442" t="s">
        <v>1060</v>
      </c>
      <c r="B442" t="s">
        <v>67</v>
      </c>
      <c r="C442" t="s">
        <v>1061</v>
      </c>
      <c r="D442" t="s">
        <v>95</v>
      </c>
      <c r="E442" t="s">
        <v>96</v>
      </c>
      <c r="F442" t="s">
        <v>71</v>
      </c>
      <c r="G442" s="1">
        <v>45081</v>
      </c>
      <c r="H442" s="1">
        <v>45596</v>
      </c>
      <c r="I442" s="1">
        <v>47241</v>
      </c>
      <c r="J442">
        <v>614700</v>
      </c>
      <c r="K442">
        <v>72</v>
      </c>
      <c r="L442">
        <v>56</v>
      </c>
      <c r="M442">
        <v>16</v>
      </c>
      <c r="N442">
        <v>8.26</v>
      </c>
      <c r="O442">
        <v>10855.89</v>
      </c>
      <c r="P442" t="s">
        <v>116</v>
      </c>
      <c r="Q442">
        <v>485110.21</v>
      </c>
      <c r="R442">
        <v>10855.89</v>
      </c>
      <c r="S442">
        <v>10976.33</v>
      </c>
      <c r="T442" s="1">
        <v>45568</v>
      </c>
      <c r="U442" t="s">
        <v>73</v>
      </c>
      <c r="V442">
        <v>0</v>
      </c>
      <c r="W442">
        <v>16</v>
      </c>
      <c r="X442">
        <v>16</v>
      </c>
      <c r="Y442">
        <v>0</v>
      </c>
      <c r="Z442">
        <v>0</v>
      </c>
      <c r="AA442">
        <v>0</v>
      </c>
      <c r="AB442" t="s">
        <v>208</v>
      </c>
      <c r="AC442" t="s">
        <v>405</v>
      </c>
      <c r="AD442">
        <v>2021</v>
      </c>
      <c r="AE442" t="s">
        <v>166</v>
      </c>
      <c r="AF442" t="b">
        <v>0</v>
      </c>
      <c r="AG442">
        <v>1004000</v>
      </c>
      <c r="AH442">
        <v>775404</v>
      </c>
      <c r="AI442">
        <v>0.61229999999999996</v>
      </c>
      <c r="AJ442">
        <v>0.59799999999999998</v>
      </c>
      <c r="AK442">
        <v>27</v>
      </c>
      <c r="AL442" t="s">
        <v>77</v>
      </c>
      <c r="AM442">
        <v>2251000</v>
      </c>
      <c r="AN442">
        <v>5.79E-2</v>
      </c>
      <c r="AO442">
        <v>761</v>
      </c>
      <c r="AP442">
        <v>740</v>
      </c>
      <c r="AQ442" t="s">
        <v>100</v>
      </c>
      <c r="AR442" t="s">
        <v>101</v>
      </c>
      <c r="AS442">
        <v>1</v>
      </c>
      <c r="AT442">
        <v>2.3900000000000001E-2</v>
      </c>
      <c r="AU442">
        <v>0.52829999999999999</v>
      </c>
      <c r="AV442">
        <v>501131.38</v>
      </c>
      <c r="AW442">
        <v>6327.47</v>
      </c>
      <c r="AX442" t="b">
        <v>0</v>
      </c>
      <c r="AY442" t="b">
        <v>0</v>
      </c>
      <c r="AZ442" t="s">
        <v>80</v>
      </c>
      <c r="BA442">
        <v>0</v>
      </c>
      <c r="BB442">
        <v>0</v>
      </c>
      <c r="BC442">
        <v>0</v>
      </c>
      <c r="BD442">
        <v>0</v>
      </c>
      <c r="BE442" t="s">
        <v>81</v>
      </c>
      <c r="BF442" t="b">
        <v>1</v>
      </c>
    </row>
    <row r="443" spans="1:58" x14ac:dyDescent="0.3">
      <c r="A443" t="s">
        <v>1062</v>
      </c>
      <c r="B443" t="s">
        <v>67</v>
      </c>
      <c r="C443" t="s">
        <v>1063</v>
      </c>
      <c r="D443" t="s">
        <v>84</v>
      </c>
      <c r="E443" t="s">
        <v>85</v>
      </c>
      <c r="F443" t="s">
        <v>71</v>
      </c>
      <c r="G443" s="1">
        <v>44729</v>
      </c>
      <c r="H443" s="1">
        <v>45596</v>
      </c>
      <c r="I443" s="1">
        <v>47249</v>
      </c>
      <c r="J443">
        <v>363700</v>
      </c>
      <c r="K443">
        <v>84</v>
      </c>
      <c r="L443">
        <v>56</v>
      </c>
      <c r="M443">
        <v>28</v>
      </c>
      <c r="N443">
        <v>10.75</v>
      </c>
      <c r="O443">
        <v>6179.73</v>
      </c>
      <c r="P443" t="s">
        <v>72</v>
      </c>
      <c r="Q443">
        <v>221530.57</v>
      </c>
      <c r="R443">
        <v>6179.73</v>
      </c>
      <c r="S443">
        <v>6019.98</v>
      </c>
      <c r="T443" s="1">
        <v>45561</v>
      </c>
      <c r="U443" t="s">
        <v>73</v>
      </c>
      <c r="V443">
        <v>0</v>
      </c>
      <c r="W443">
        <v>28</v>
      </c>
      <c r="X443">
        <v>28</v>
      </c>
      <c r="Y443">
        <v>0</v>
      </c>
      <c r="Z443">
        <v>0</v>
      </c>
      <c r="AA443">
        <v>0</v>
      </c>
      <c r="AB443" t="s">
        <v>104</v>
      </c>
      <c r="AC443" t="s">
        <v>105</v>
      </c>
      <c r="AD443">
        <v>2022</v>
      </c>
      <c r="AE443" t="s">
        <v>99</v>
      </c>
      <c r="AF443" t="b">
        <v>1</v>
      </c>
      <c r="AG443">
        <v>517000</v>
      </c>
      <c r="AH443">
        <v>314696.77</v>
      </c>
      <c r="AI443">
        <v>0.70340000000000003</v>
      </c>
      <c r="AJ443">
        <v>0.64529999999999998</v>
      </c>
      <c r="AK443">
        <v>31</v>
      </c>
      <c r="AL443" t="s">
        <v>77</v>
      </c>
      <c r="AM443">
        <v>4534000</v>
      </c>
      <c r="AN443">
        <v>1.6400000000000001E-2</v>
      </c>
      <c r="AO443">
        <v>708</v>
      </c>
      <c r="AP443">
        <v>726</v>
      </c>
      <c r="AQ443" t="s">
        <v>145</v>
      </c>
      <c r="AR443" t="s">
        <v>203</v>
      </c>
      <c r="AS443">
        <v>1</v>
      </c>
      <c r="AT443">
        <v>2.3599999999999999E-2</v>
      </c>
      <c r="AU443">
        <v>0.42209999999999998</v>
      </c>
      <c r="AV443">
        <v>222092.79</v>
      </c>
      <c r="AW443">
        <v>2212.39</v>
      </c>
      <c r="AX443" t="b">
        <v>0</v>
      </c>
      <c r="AY443" t="b">
        <v>0</v>
      </c>
      <c r="AZ443" t="s">
        <v>80</v>
      </c>
      <c r="BA443">
        <v>0</v>
      </c>
      <c r="BB443">
        <v>0</v>
      </c>
      <c r="BC443">
        <v>0</v>
      </c>
      <c r="BD443">
        <v>0</v>
      </c>
      <c r="BE443" t="s">
        <v>81</v>
      </c>
      <c r="BF443" t="b">
        <v>1</v>
      </c>
    </row>
    <row r="444" spans="1:58" x14ac:dyDescent="0.3">
      <c r="A444" t="s">
        <v>1064</v>
      </c>
      <c r="B444" t="s">
        <v>67</v>
      </c>
      <c r="C444" t="s">
        <v>1065</v>
      </c>
      <c r="D444" t="s">
        <v>95</v>
      </c>
      <c r="E444" t="s">
        <v>96</v>
      </c>
      <c r="F444" t="s">
        <v>86</v>
      </c>
      <c r="G444" s="1">
        <v>45272</v>
      </c>
      <c r="H444" s="1">
        <v>45596</v>
      </c>
      <c r="I444" s="1">
        <v>46352</v>
      </c>
      <c r="J444">
        <v>2030600</v>
      </c>
      <c r="K444">
        <v>36</v>
      </c>
      <c r="L444">
        <v>26</v>
      </c>
      <c r="M444">
        <v>10</v>
      </c>
      <c r="N444">
        <v>10.49</v>
      </c>
      <c r="O444">
        <v>65989.89</v>
      </c>
      <c r="P444" t="s">
        <v>72</v>
      </c>
      <c r="Q444">
        <v>1506928.31</v>
      </c>
      <c r="R444">
        <v>65989.89</v>
      </c>
      <c r="S444">
        <v>62890.66</v>
      </c>
      <c r="T444" s="1">
        <v>45576</v>
      </c>
      <c r="U444" t="s">
        <v>73</v>
      </c>
      <c r="V444">
        <v>0</v>
      </c>
      <c r="W444">
        <v>10</v>
      </c>
      <c r="X444">
        <v>10</v>
      </c>
      <c r="Y444">
        <v>0</v>
      </c>
      <c r="Z444">
        <v>0</v>
      </c>
      <c r="AA444">
        <v>0</v>
      </c>
      <c r="AB444" t="s">
        <v>97</v>
      </c>
      <c r="AC444" t="s">
        <v>98</v>
      </c>
      <c r="AD444">
        <v>2023</v>
      </c>
      <c r="AE444" t="s">
        <v>119</v>
      </c>
      <c r="AF444" t="b">
        <v>1</v>
      </c>
      <c r="AG444">
        <v>2282000</v>
      </c>
      <c r="AH444">
        <v>1873582.73</v>
      </c>
      <c r="AI444">
        <v>0.88980000000000004</v>
      </c>
      <c r="AJ444">
        <v>0.75039999999999996</v>
      </c>
      <c r="AK444">
        <v>30</v>
      </c>
      <c r="AL444" t="s">
        <v>77</v>
      </c>
      <c r="AM444">
        <v>3584000</v>
      </c>
      <c r="AN444">
        <v>0.22090000000000001</v>
      </c>
      <c r="AO444">
        <v>672</v>
      </c>
      <c r="AP444">
        <v>688</v>
      </c>
      <c r="AQ444" t="s">
        <v>100</v>
      </c>
      <c r="AR444" t="s">
        <v>149</v>
      </c>
      <c r="AS444">
        <v>1</v>
      </c>
      <c r="AT444">
        <v>1.44E-2</v>
      </c>
      <c r="AU444">
        <v>0.5796</v>
      </c>
      <c r="AV444">
        <v>1565702.1</v>
      </c>
      <c r="AW444">
        <v>13067.73</v>
      </c>
      <c r="AX444" t="b">
        <v>0</v>
      </c>
      <c r="AY444" t="b">
        <v>0</v>
      </c>
      <c r="AZ444" t="s">
        <v>80</v>
      </c>
      <c r="BA444">
        <v>0</v>
      </c>
      <c r="BB444">
        <v>0</v>
      </c>
      <c r="BC444">
        <v>0</v>
      </c>
      <c r="BD444">
        <v>0</v>
      </c>
      <c r="BE444" t="s">
        <v>108</v>
      </c>
      <c r="BF444" t="b">
        <v>1</v>
      </c>
    </row>
    <row r="445" spans="1:58" x14ac:dyDescent="0.3">
      <c r="A445" t="s">
        <v>1066</v>
      </c>
      <c r="B445" t="s">
        <v>67</v>
      </c>
      <c r="C445" t="s">
        <v>1067</v>
      </c>
      <c r="D445" t="s">
        <v>84</v>
      </c>
      <c r="E445" t="s">
        <v>85</v>
      </c>
      <c r="F445" t="s">
        <v>124</v>
      </c>
      <c r="G445" s="1">
        <v>45501</v>
      </c>
      <c r="H445" s="1">
        <v>45596</v>
      </c>
      <c r="I445" s="1">
        <v>46581</v>
      </c>
      <c r="J445">
        <v>1561500</v>
      </c>
      <c r="K445">
        <v>36</v>
      </c>
      <c r="L445">
        <v>33</v>
      </c>
      <c r="M445">
        <v>3</v>
      </c>
      <c r="N445">
        <v>13.01</v>
      </c>
      <c r="O445">
        <v>52620.63</v>
      </c>
      <c r="P445" t="s">
        <v>139</v>
      </c>
      <c r="Q445">
        <v>1448939.06</v>
      </c>
      <c r="R445">
        <v>52620.63</v>
      </c>
      <c r="S445">
        <v>51510.21</v>
      </c>
      <c r="T445" s="1">
        <v>45594</v>
      </c>
      <c r="U445" t="s">
        <v>73</v>
      </c>
      <c r="V445">
        <v>0</v>
      </c>
      <c r="W445">
        <v>3</v>
      </c>
      <c r="X445">
        <v>3</v>
      </c>
      <c r="Y445">
        <v>0</v>
      </c>
      <c r="Z445">
        <v>0</v>
      </c>
      <c r="AA445">
        <v>0</v>
      </c>
      <c r="AB445" t="s">
        <v>104</v>
      </c>
      <c r="AC445" t="s">
        <v>105</v>
      </c>
      <c r="AD445">
        <v>2022</v>
      </c>
      <c r="AE445" t="s">
        <v>166</v>
      </c>
      <c r="AF445" t="b">
        <v>0</v>
      </c>
      <c r="AG445">
        <v>1786000</v>
      </c>
      <c r="AH445">
        <v>1657695.74</v>
      </c>
      <c r="AI445">
        <v>0.87429999999999997</v>
      </c>
      <c r="AJ445">
        <v>0.84160000000000001</v>
      </c>
      <c r="AK445">
        <v>23</v>
      </c>
      <c r="AL445" t="s">
        <v>77</v>
      </c>
      <c r="AM445">
        <v>4945000</v>
      </c>
      <c r="AN445">
        <v>0.12770000000000001</v>
      </c>
      <c r="AO445">
        <v>730</v>
      </c>
      <c r="AP445">
        <v>728</v>
      </c>
      <c r="AQ445" t="s">
        <v>145</v>
      </c>
      <c r="AR445" t="s">
        <v>203</v>
      </c>
      <c r="AS445">
        <v>1</v>
      </c>
      <c r="AT445">
        <v>1.7399999999999999E-2</v>
      </c>
      <c r="AU445">
        <v>0.50670000000000004</v>
      </c>
      <c r="AV445">
        <v>1504577.39</v>
      </c>
      <c r="AW445">
        <v>13265.23</v>
      </c>
      <c r="AX445" t="b">
        <v>0</v>
      </c>
      <c r="AY445" t="b">
        <v>0</v>
      </c>
      <c r="AZ445" t="s">
        <v>80</v>
      </c>
      <c r="BA445">
        <v>0</v>
      </c>
      <c r="BB445">
        <v>0</v>
      </c>
      <c r="BC445">
        <v>0</v>
      </c>
      <c r="BD445">
        <v>0</v>
      </c>
      <c r="BE445" t="s">
        <v>108</v>
      </c>
      <c r="BF445" t="b">
        <v>0</v>
      </c>
    </row>
    <row r="446" spans="1:58" x14ac:dyDescent="0.3">
      <c r="A446" t="s">
        <v>1068</v>
      </c>
      <c r="B446" t="s">
        <v>67</v>
      </c>
      <c r="C446" t="s">
        <v>1069</v>
      </c>
      <c r="D446" t="s">
        <v>95</v>
      </c>
      <c r="E446" t="s">
        <v>96</v>
      </c>
      <c r="F446" t="s">
        <v>115</v>
      </c>
      <c r="G446" s="1">
        <v>45157</v>
      </c>
      <c r="H446" s="1">
        <v>45596</v>
      </c>
      <c r="I446" s="1">
        <v>46957</v>
      </c>
      <c r="J446">
        <v>516200</v>
      </c>
      <c r="K446">
        <v>60</v>
      </c>
      <c r="L446">
        <v>46</v>
      </c>
      <c r="M446">
        <v>14</v>
      </c>
      <c r="N446">
        <v>13.7</v>
      </c>
      <c r="O446">
        <v>11930.94</v>
      </c>
      <c r="P446" t="s">
        <v>72</v>
      </c>
      <c r="Q446">
        <v>378611.02</v>
      </c>
      <c r="R446">
        <v>11930.94</v>
      </c>
      <c r="S446">
        <v>11381.37</v>
      </c>
      <c r="T446" s="1">
        <v>45566</v>
      </c>
      <c r="U446" t="s">
        <v>73</v>
      </c>
      <c r="V446">
        <v>0</v>
      </c>
      <c r="W446">
        <v>14</v>
      </c>
      <c r="X446">
        <v>14</v>
      </c>
      <c r="Y446">
        <v>0</v>
      </c>
      <c r="Z446">
        <v>0</v>
      </c>
      <c r="AA446">
        <v>0</v>
      </c>
      <c r="AB446" t="s">
        <v>117</v>
      </c>
      <c r="AC446" t="s">
        <v>160</v>
      </c>
      <c r="AD446">
        <v>2023</v>
      </c>
      <c r="AE446" t="s">
        <v>99</v>
      </c>
      <c r="AF446" t="b">
        <v>1</v>
      </c>
      <c r="AG446">
        <v>859000</v>
      </c>
      <c r="AH446">
        <v>650800.14</v>
      </c>
      <c r="AI446">
        <v>0.60099999999999998</v>
      </c>
      <c r="AJ446">
        <v>0.52980000000000005</v>
      </c>
      <c r="AK446">
        <v>44</v>
      </c>
      <c r="AL446" t="s">
        <v>132</v>
      </c>
      <c r="AM446">
        <v>1741000</v>
      </c>
      <c r="AN446">
        <v>8.2199999999999995E-2</v>
      </c>
      <c r="AO446">
        <v>785</v>
      </c>
      <c r="AP446">
        <v>754</v>
      </c>
      <c r="AQ446" t="s">
        <v>127</v>
      </c>
      <c r="AR446" t="s">
        <v>215</v>
      </c>
      <c r="AS446">
        <v>1</v>
      </c>
      <c r="AT446">
        <v>1.84E-2</v>
      </c>
      <c r="AU446">
        <v>0.59650000000000003</v>
      </c>
      <c r="AV446">
        <v>393474.15</v>
      </c>
      <c r="AW446">
        <v>4318.6099999999997</v>
      </c>
      <c r="AX446" t="b">
        <v>0</v>
      </c>
      <c r="AY446" t="b">
        <v>0</v>
      </c>
      <c r="AZ446" t="s">
        <v>80</v>
      </c>
      <c r="BA446">
        <v>0</v>
      </c>
      <c r="BB446">
        <v>0</v>
      </c>
      <c r="BC446">
        <v>0</v>
      </c>
      <c r="BD446">
        <v>0</v>
      </c>
      <c r="BE446" t="s">
        <v>108</v>
      </c>
      <c r="BF446" t="b">
        <v>1</v>
      </c>
    </row>
    <row r="447" spans="1:58" x14ac:dyDescent="0.3">
      <c r="A447" t="s">
        <v>1070</v>
      </c>
      <c r="B447" t="s">
        <v>67</v>
      </c>
      <c r="C447" t="s">
        <v>1071</v>
      </c>
      <c r="D447" t="s">
        <v>84</v>
      </c>
      <c r="E447" t="s">
        <v>85</v>
      </c>
      <c r="F447" t="s">
        <v>71</v>
      </c>
      <c r="G447" s="1">
        <v>44622</v>
      </c>
      <c r="H447" s="1">
        <v>45596</v>
      </c>
      <c r="I447" s="1">
        <v>45702</v>
      </c>
      <c r="J447">
        <v>1072700</v>
      </c>
      <c r="K447">
        <v>36</v>
      </c>
      <c r="L447">
        <v>5</v>
      </c>
      <c r="M447">
        <v>31</v>
      </c>
      <c r="N447">
        <v>12.91</v>
      </c>
      <c r="O447">
        <v>36097.019999999997</v>
      </c>
      <c r="P447" t="s">
        <v>72</v>
      </c>
      <c r="Q447">
        <v>151487.9</v>
      </c>
      <c r="R447">
        <v>36097.019999999997</v>
      </c>
      <c r="S447">
        <v>22058.25</v>
      </c>
      <c r="T447" s="1">
        <v>45563</v>
      </c>
      <c r="U447" t="s">
        <v>143</v>
      </c>
      <c r="V447">
        <v>56</v>
      </c>
      <c r="W447">
        <v>31</v>
      </c>
      <c r="X447">
        <v>29</v>
      </c>
      <c r="Y447">
        <v>2</v>
      </c>
      <c r="Z447">
        <v>2</v>
      </c>
      <c r="AA447">
        <v>0</v>
      </c>
      <c r="AB447" t="s">
        <v>125</v>
      </c>
      <c r="AC447" t="s">
        <v>144</v>
      </c>
      <c r="AD447">
        <v>2022</v>
      </c>
      <c r="AE447" t="s">
        <v>90</v>
      </c>
      <c r="AF447" t="b">
        <v>1</v>
      </c>
      <c r="AG447">
        <v>1314000</v>
      </c>
      <c r="AH447">
        <v>849575.2</v>
      </c>
      <c r="AI447">
        <v>0.81630000000000003</v>
      </c>
      <c r="AJ447">
        <v>0.18360000000000001</v>
      </c>
      <c r="AK447">
        <v>57</v>
      </c>
      <c r="AL447" t="s">
        <v>77</v>
      </c>
      <c r="AM447">
        <v>891000</v>
      </c>
      <c r="AN447">
        <v>0.48620000000000002</v>
      </c>
      <c r="AO447">
        <v>665</v>
      </c>
      <c r="AP447">
        <v>649</v>
      </c>
      <c r="AQ447" t="s">
        <v>145</v>
      </c>
      <c r="AR447" t="s">
        <v>146</v>
      </c>
      <c r="AS447">
        <v>2</v>
      </c>
      <c r="AT447">
        <v>0.1234</v>
      </c>
      <c r="AU447">
        <v>0.49209999999999998</v>
      </c>
      <c r="AV447">
        <v>158156.81</v>
      </c>
      <c r="AW447">
        <v>9604.09</v>
      </c>
      <c r="AX447" t="b">
        <v>0</v>
      </c>
      <c r="AY447" t="b">
        <v>0</v>
      </c>
      <c r="AZ447" t="s">
        <v>80</v>
      </c>
      <c r="BA447">
        <v>0</v>
      </c>
      <c r="BB447">
        <v>0</v>
      </c>
      <c r="BC447">
        <v>0</v>
      </c>
      <c r="BD447">
        <v>0</v>
      </c>
      <c r="BE447" t="s">
        <v>108</v>
      </c>
      <c r="BF447" t="b">
        <v>1</v>
      </c>
    </row>
    <row r="448" spans="1:58" x14ac:dyDescent="0.3">
      <c r="A448" t="s">
        <v>1072</v>
      </c>
      <c r="B448" t="s">
        <v>67</v>
      </c>
      <c r="C448" t="s">
        <v>1073</v>
      </c>
      <c r="D448" t="s">
        <v>95</v>
      </c>
      <c r="E448" t="s">
        <v>96</v>
      </c>
      <c r="F448" t="s">
        <v>115</v>
      </c>
      <c r="G448" s="1">
        <v>45015</v>
      </c>
      <c r="H448" s="1">
        <v>45596</v>
      </c>
      <c r="I448" s="1">
        <v>46815</v>
      </c>
      <c r="J448">
        <v>347800</v>
      </c>
      <c r="K448">
        <v>60</v>
      </c>
      <c r="L448">
        <v>41</v>
      </c>
      <c r="M448">
        <v>19</v>
      </c>
      <c r="N448">
        <v>12.58</v>
      </c>
      <c r="O448">
        <v>7838.94</v>
      </c>
      <c r="P448" t="s">
        <v>72</v>
      </c>
      <c r="Q448">
        <v>232496.18</v>
      </c>
      <c r="R448">
        <v>7838.94</v>
      </c>
      <c r="S448">
        <v>7725.02</v>
      </c>
      <c r="T448" s="1">
        <v>45573</v>
      </c>
      <c r="U448" t="s">
        <v>73</v>
      </c>
      <c r="V448">
        <v>0</v>
      </c>
      <c r="W448">
        <v>19</v>
      </c>
      <c r="X448">
        <v>19</v>
      </c>
      <c r="Y448">
        <v>0</v>
      </c>
      <c r="Z448">
        <v>0</v>
      </c>
      <c r="AA448">
        <v>0</v>
      </c>
      <c r="AB448" t="s">
        <v>88</v>
      </c>
      <c r="AC448" t="s">
        <v>89</v>
      </c>
      <c r="AD448">
        <v>2023</v>
      </c>
      <c r="AE448" t="s">
        <v>99</v>
      </c>
      <c r="AF448" t="b">
        <v>1</v>
      </c>
      <c r="AG448">
        <v>470000</v>
      </c>
      <c r="AH448">
        <v>381537.73</v>
      </c>
      <c r="AI448">
        <v>0.74</v>
      </c>
      <c r="AJ448">
        <v>0.64080000000000004</v>
      </c>
      <c r="AK448">
        <v>42</v>
      </c>
      <c r="AL448" t="s">
        <v>120</v>
      </c>
      <c r="AM448">
        <v>1699000</v>
      </c>
      <c r="AN448">
        <v>5.5399999999999998E-2</v>
      </c>
      <c r="AO448">
        <v>655</v>
      </c>
      <c r="AP448">
        <v>636</v>
      </c>
      <c r="AQ448" t="s">
        <v>127</v>
      </c>
      <c r="AR448" t="s">
        <v>153</v>
      </c>
      <c r="AS448">
        <v>1</v>
      </c>
      <c r="AT448">
        <v>1.95E-2</v>
      </c>
      <c r="AU448">
        <v>0.36220000000000002</v>
      </c>
      <c r="AV448">
        <v>237032</v>
      </c>
      <c r="AW448">
        <v>1674.13</v>
      </c>
      <c r="AX448" t="b">
        <v>0</v>
      </c>
      <c r="AY448" t="b">
        <v>0</v>
      </c>
      <c r="AZ448" t="s">
        <v>80</v>
      </c>
      <c r="BA448">
        <v>0</v>
      </c>
      <c r="BB448">
        <v>0</v>
      </c>
      <c r="BC448">
        <v>0</v>
      </c>
      <c r="BD448">
        <v>0</v>
      </c>
      <c r="BE448" t="s">
        <v>81</v>
      </c>
      <c r="BF448" t="b">
        <v>1</v>
      </c>
    </row>
    <row r="449" spans="1:58" x14ac:dyDescent="0.3">
      <c r="A449" t="s">
        <v>1074</v>
      </c>
      <c r="B449" t="s">
        <v>67</v>
      </c>
      <c r="C449" t="s">
        <v>1075</v>
      </c>
      <c r="D449" t="s">
        <v>95</v>
      </c>
      <c r="E449" t="s">
        <v>96</v>
      </c>
      <c r="F449" t="s">
        <v>86</v>
      </c>
      <c r="G449" s="1">
        <v>44283</v>
      </c>
      <c r="H449" s="1">
        <v>45596</v>
      </c>
      <c r="I449" s="1">
        <v>46083</v>
      </c>
      <c r="J449">
        <v>1441600</v>
      </c>
      <c r="K449">
        <v>60</v>
      </c>
      <c r="L449">
        <v>17</v>
      </c>
      <c r="M449">
        <v>43</v>
      </c>
      <c r="N449">
        <v>8.84</v>
      </c>
      <c r="O449">
        <v>29813.42</v>
      </c>
      <c r="P449" t="s">
        <v>72</v>
      </c>
      <c r="Q449">
        <v>420633.5</v>
      </c>
      <c r="R449">
        <v>29813.42</v>
      </c>
      <c r="S449">
        <v>28434.67</v>
      </c>
      <c r="T449" s="1">
        <v>45593</v>
      </c>
      <c r="U449" t="s">
        <v>73</v>
      </c>
      <c r="V449">
        <v>0</v>
      </c>
      <c r="W449">
        <v>43</v>
      </c>
      <c r="X449">
        <v>43</v>
      </c>
      <c r="Y449">
        <v>0</v>
      </c>
      <c r="Z449">
        <v>0</v>
      </c>
      <c r="AA449">
        <v>0</v>
      </c>
      <c r="AB449" t="s">
        <v>208</v>
      </c>
      <c r="AC449" t="s">
        <v>636</v>
      </c>
      <c r="AD449">
        <v>2021</v>
      </c>
      <c r="AE449" t="s">
        <v>119</v>
      </c>
      <c r="AF449" t="b">
        <v>1</v>
      </c>
      <c r="AG449">
        <v>1718000</v>
      </c>
      <c r="AH449">
        <v>913520.04</v>
      </c>
      <c r="AI449">
        <v>0.83909999999999996</v>
      </c>
      <c r="AJ449">
        <v>0.50590000000000002</v>
      </c>
      <c r="AK449">
        <v>26</v>
      </c>
      <c r="AL449" t="s">
        <v>132</v>
      </c>
      <c r="AM449">
        <v>1200000</v>
      </c>
      <c r="AN449">
        <v>0.29809999999999998</v>
      </c>
      <c r="AO449">
        <v>721</v>
      </c>
      <c r="AP449">
        <v>708</v>
      </c>
      <c r="AQ449" t="s">
        <v>78</v>
      </c>
      <c r="AR449" t="s">
        <v>79</v>
      </c>
      <c r="AS449">
        <v>1</v>
      </c>
      <c r="AT449">
        <v>2.2700000000000001E-2</v>
      </c>
      <c r="AU449">
        <v>0.39029999999999998</v>
      </c>
      <c r="AV449">
        <v>433464.82</v>
      </c>
      <c r="AW449">
        <v>3840.42</v>
      </c>
      <c r="AX449" t="b">
        <v>0</v>
      </c>
      <c r="AY449" t="b">
        <v>0</v>
      </c>
      <c r="AZ449" t="s">
        <v>80</v>
      </c>
      <c r="BA449">
        <v>0</v>
      </c>
      <c r="BB449">
        <v>0</v>
      </c>
      <c r="BC449">
        <v>0</v>
      </c>
      <c r="BD449">
        <v>0</v>
      </c>
      <c r="BE449" t="s">
        <v>134</v>
      </c>
      <c r="BF449" t="b">
        <v>1</v>
      </c>
    </row>
    <row r="450" spans="1:58" x14ac:dyDescent="0.3">
      <c r="A450" t="s">
        <v>1076</v>
      </c>
      <c r="B450" t="s">
        <v>67</v>
      </c>
      <c r="C450" t="s">
        <v>1077</v>
      </c>
      <c r="D450" t="s">
        <v>69</v>
      </c>
      <c r="E450" t="s">
        <v>70</v>
      </c>
      <c r="F450" t="s">
        <v>71</v>
      </c>
      <c r="G450" s="1">
        <v>44793</v>
      </c>
      <c r="H450" s="1">
        <v>45596</v>
      </c>
      <c r="I450" s="1">
        <v>46233</v>
      </c>
      <c r="J450">
        <v>1739400</v>
      </c>
      <c r="K450">
        <v>48</v>
      </c>
      <c r="L450">
        <v>22</v>
      </c>
      <c r="M450">
        <v>26</v>
      </c>
      <c r="N450">
        <v>13.3</v>
      </c>
      <c r="O450">
        <v>46923.16</v>
      </c>
      <c r="P450" t="s">
        <v>72</v>
      </c>
      <c r="Q450">
        <v>748321.28000000003</v>
      </c>
      <c r="R450">
        <v>46923.16</v>
      </c>
      <c r="S450">
        <v>49266.71</v>
      </c>
      <c r="T450" s="1">
        <v>45594</v>
      </c>
      <c r="U450" t="s">
        <v>73</v>
      </c>
      <c r="V450">
        <v>0</v>
      </c>
      <c r="W450">
        <v>26</v>
      </c>
      <c r="X450">
        <v>26</v>
      </c>
      <c r="Y450">
        <v>0</v>
      </c>
      <c r="Z450">
        <v>0</v>
      </c>
      <c r="AA450">
        <v>0</v>
      </c>
      <c r="AB450" t="s">
        <v>125</v>
      </c>
      <c r="AC450" t="s">
        <v>191</v>
      </c>
      <c r="AD450">
        <v>2022</v>
      </c>
      <c r="AE450" t="s">
        <v>76</v>
      </c>
      <c r="AF450" t="b">
        <v>1</v>
      </c>
      <c r="AG450">
        <v>1958000</v>
      </c>
      <c r="AH450">
        <v>1450125.87</v>
      </c>
      <c r="AI450">
        <v>0.88839999999999997</v>
      </c>
      <c r="AJ450">
        <v>0.55549999999999999</v>
      </c>
      <c r="AK450">
        <v>31</v>
      </c>
      <c r="AL450" t="s">
        <v>120</v>
      </c>
      <c r="AM450">
        <v>3724000</v>
      </c>
      <c r="AN450">
        <v>0.1512</v>
      </c>
      <c r="AO450">
        <v>686</v>
      </c>
      <c r="AP450">
        <v>649</v>
      </c>
      <c r="AQ450" t="s">
        <v>145</v>
      </c>
      <c r="AR450" t="s">
        <v>146</v>
      </c>
      <c r="AS450">
        <v>1</v>
      </c>
      <c r="AT450">
        <v>2.1100000000000001E-2</v>
      </c>
      <c r="AU450">
        <v>0.5393</v>
      </c>
      <c r="AV450">
        <v>755729.29</v>
      </c>
      <c r="AW450">
        <v>8599.6200000000008</v>
      </c>
      <c r="AX450" t="b">
        <v>0</v>
      </c>
      <c r="AY450" t="b">
        <v>0</v>
      </c>
      <c r="AZ450" t="s">
        <v>80</v>
      </c>
      <c r="BA450">
        <v>0</v>
      </c>
      <c r="BB450">
        <v>0</v>
      </c>
      <c r="BC450">
        <v>0</v>
      </c>
      <c r="BD450">
        <v>0</v>
      </c>
      <c r="BE450" t="s">
        <v>134</v>
      </c>
      <c r="BF450" t="b">
        <v>1</v>
      </c>
    </row>
    <row r="451" spans="1:58" x14ac:dyDescent="0.3">
      <c r="A451" t="s">
        <v>1078</v>
      </c>
      <c r="B451" t="s">
        <v>67</v>
      </c>
      <c r="C451" t="s">
        <v>1079</v>
      </c>
      <c r="D451" t="s">
        <v>69</v>
      </c>
      <c r="E451" t="s">
        <v>70</v>
      </c>
      <c r="F451" t="s">
        <v>124</v>
      </c>
      <c r="G451" s="1">
        <v>44268</v>
      </c>
      <c r="H451" s="1">
        <v>45596</v>
      </c>
      <c r="I451" s="1">
        <v>46068</v>
      </c>
      <c r="J451">
        <v>1189400</v>
      </c>
      <c r="K451">
        <v>60</v>
      </c>
      <c r="L451">
        <v>17</v>
      </c>
      <c r="M451">
        <v>43</v>
      </c>
      <c r="N451">
        <v>14.44</v>
      </c>
      <c r="O451">
        <v>27947.32</v>
      </c>
      <c r="P451" t="s">
        <v>72</v>
      </c>
      <c r="Q451">
        <v>308114.76</v>
      </c>
      <c r="R451">
        <v>27947.32</v>
      </c>
      <c r="S451">
        <v>28215.82</v>
      </c>
      <c r="T451" s="1">
        <v>45570</v>
      </c>
      <c r="U451" t="s">
        <v>73</v>
      </c>
      <c r="V451">
        <v>0</v>
      </c>
      <c r="W451">
        <v>43</v>
      </c>
      <c r="X451">
        <v>43</v>
      </c>
      <c r="Y451">
        <v>0</v>
      </c>
      <c r="Z451">
        <v>0</v>
      </c>
      <c r="AA451">
        <v>0</v>
      </c>
      <c r="AB451" t="s">
        <v>74</v>
      </c>
      <c r="AC451" t="s">
        <v>75</v>
      </c>
      <c r="AD451">
        <v>2021</v>
      </c>
      <c r="AE451" t="s">
        <v>90</v>
      </c>
      <c r="AF451" t="b">
        <v>1</v>
      </c>
      <c r="AG451">
        <v>1537000</v>
      </c>
      <c r="AH451">
        <v>805901.14</v>
      </c>
      <c r="AI451">
        <v>0.77380000000000004</v>
      </c>
      <c r="AJ451">
        <v>0.41420000000000001</v>
      </c>
      <c r="AK451">
        <v>51</v>
      </c>
      <c r="AL451" t="s">
        <v>132</v>
      </c>
      <c r="AM451">
        <v>881000</v>
      </c>
      <c r="AN451">
        <v>0.38069999999999998</v>
      </c>
      <c r="AO451">
        <v>656</v>
      </c>
      <c r="AP451">
        <v>609</v>
      </c>
      <c r="AQ451" t="s">
        <v>78</v>
      </c>
      <c r="AR451" t="s">
        <v>79</v>
      </c>
      <c r="AS451">
        <v>1</v>
      </c>
      <c r="AT451">
        <v>1.7999999999999999E-2</v>
      </c>
      <c r="AU451">
        <v>0.54110000000000003</v>
      </c>
      <c r="AV451">
        <v>315776.83</v>
      </c>
      <c r="AW451">
        <v>3075.6</v>
      </c>
      <c r="AX451" t="b">
        <v>0</v>
      </c>
      <c r="AY451" t="b">
        <v>0</v>
      </c>
      <c r="AZ451" t="s">
        <v>80</v>
      </c>
      <c r="BA451">
        <v>0</v>
      </c>
      <c r="BB451">
        <v>0</v>
      </c>
      <c r="BC451">
        <v>0</v>
      </c>
      <c r="BD451">
        <v>0</v>
      </c>
      <c r="BE451" t="s">
        <v>108</v>
      </c>
      <c r="BF451" t="b">
        <v>0</v>
      </c>
    </row>
    <row r="452" spans="1:58" x14ac:dyDescent="0.3">
      <c r="A452" t="s">
        <v>1080</v>
      </c>
      <c r="B452" t="s">
        <v>67</v>
      </c>
      <c r="C452" t="s">
        <v>1081</v>
      </c>
      <c r="D452" t="s">
        <v>69</v>
      </c>
      <c r="E452" t="s">
        <v>70</v>
      </c>
      <c r="F452" t="s">
        <v>71</v>
      </c>
      <c r="G452" s="1">
        <v>45468</v>
      </c>
      <c r="H452" s="1">
        <v>45596</v>
      </c>
      <c r="I452" s="1">
        <v>47268</v>
      </c>
      <c r="J452">
        <v>720800</v>
      </c>
      <c r="K452">
        <v>60</v>
      </c>
      <c r="L452">
        <v>56</v>
      </c>
      <c r="M452">
        <v>4</v>
      </c>
      <c r="N452">
        <v>11.73</v>
      </c>
      <c r="O452">
        <v>15935.63</v>
      </c>
      <c r="P452" t="s">
        <v>72</v>
      </c>
      <c r="Q452">
        <v>687060.73</v>
      </c>
      <c r="R452">
        <v>15935.63</v>
      </c>
      <c r="S452">
        <v>15261.15</v>
      </c>
      <c r="T452" s="1">
        <v>45580</v>
      </c>
      <c r="U452" t="s">
        <v>73</v>
      </c>
      <c r="V452">
        <v>0</v>
      </c>
      <c r="W452">
        <v>4</v>
      </c>
      <c r="X452">
        <v>4</v>
      </c>
      <c r="Y452">
        <v>0</v>
      </c>
      <c r="Z452">
        <v>0</v>
      </c>
      <c r="AA452">
        <v>0</v>
      </c>
      <c r="AB452" t="s">
        <v>125</v>
      </c>
      <c r="AC452" t="s">
        <v>144</v>
      </c>
      <c r="AD452">
        <v>2024</v>
      </c>
      <c r="AE452" t="s">
        <v>119</v>
      </c>
      <c r="AF452" t="b">
        <v>1</v>
      </c>
      <c r="AG452">
        <v>1162000</v>
      </c>
      <c r="AH452">
        <v>1202195.1000000001</v>
      </c>
      <c r="AI452">
        <v>0.62029999999999996</v>
      </c>
      <c r="AJ452">
        <v>0.62109999999999999</v>
      </c>
      <c r="AK452">
        <v>58</v>
      </c>
      <c r="AL452" t="s">
        <v>106</v>
      </c>
      <c r="AM452">
        <v>1886000</v>
      </c>
      <c r="AN452">
        <v>0.1014</v>
      </c>
      <c r="AO452">
        <v>709</v>
      </c>
      <c r="AP452">
        <v>709</v>
      </c>
      <c r="AQ452" t="s">
        <v>78</v>
      </c>
      <c r="AR452" t="s">
        <v>133</v>
      </c>
      <c r="AS452">
        <v>1</v>
      </c>
      <c r="AT452">
        <v>2.1299999999999999E-2</v>
      </c>
      <c r="AU452">
        <v>0.50180000000000002</v>
      </c>
      <c r="AV452">
        <v>689585.73</v>
      </c>
      <c r="AW452">
        <v>7370.53</v>
      </c>
      <c r="AX452" t="b">
        <v>0</v>
      </c>
      <c r="AY452" t="b">
        <v>0</v>
      </c>
      <c r="AZ452" t="s">
        <v>80</v>
      </c>
      <c r="BA452">
        <v>0</v>
      </c>
      <c r="BB452">
        <v>0</v>
      </c>
      <c r="BC452">
        <v>0</v>
      </c>
      <c r="BD452">
        <v>0</v>
      </c>
      <c r="BE452" t="s">
        <v>134</v>
      </c>
      <c r="BF452" t="b">
        <v>1</v>
      </c>
    </row>
    <row r="453" spans="1:58" x14ac:dyDescent="0.3">
      <c r="A453" t="s">
        <v>1082</v>
      </c>
      <c r="B453" t="s">
        <v>67</v>
      </c>
      <c r="C453" t="s">
        <v>1083</v>
      </c>
      <c r="D453" t="s">
        <v>69</v>
      </c>
      <c r="E453" t="s">
        <v>70</v>
      </c>
      <c r="F453" t="s">
        <v>124</v>
      </c>
      <c r="G453" s="1">
        <v>44799</v>
      </c>
      <c r="H453" s="1">
        <v>45596</v>
      </c>
      <c r="I453" s="1">
        <v>46599</v>
      </c>
      <c r="J453">
        <v>865800</v>
      </c>
      <c r="K453">
        <v>60</v>
      </c>
      <c r="L453">
        <v>34</v>
      </c>
      <c r="M453">
        <v>26</v>
      </c>
      <c r="N453">
        <v>9.16</v>
      </c>
      <c r="O453">
        <v>18039.89</v>
      </c>
      <c r="P453" t="s">
        <v>72</v>
      </c>
      <c r="Q453">
        <v>510411.05</v>
      </c>
      <c r="R453">
        <v>18039.89</v>
      </c>
      <c r="S453">
        <v>11077.86</v>
      </c>
      <c r="T453" s="1">
        <v>45580</v>
      </c>
      <c r="U453" t="s">
        <v>131</v>
      </c>
      <c r="V453">
        <v>61</v>
      </c>
      <c r="W453">
        <v>26</v>
      </c>
      <c r="X453">
        <v>21</v>
      </c>
      <c r="Y453">
        <v>3</v>
      </c>
      <c r="Z453">
        <v>2</v>
      </c>
      <c r="AA453">
        <v>0</v>
      </c>
      <c r="AB453" t="s">
        <v>208</v>
      </c>
      <c r="AC453" t="s">
        <v>364</v>
      </c>
      <c r="AD453">
        <v>2022</v>
      </c>
      <c r="AE453" t="s">
        <v>99</v>
      </c>
      <c r="AF453" t="b">
        <v>1</v>
      </c>
      <c r="AG453">
        <v>1055000</v>
      </c>
      <c r="AH453">
        <v>783543.35</v>
      </c>
      <c r="AI453">
        <v>0.82069999999999999</v>
      </c>
      <c r="AJ453">
        <v>0.70320000000000005</v>
      </c>
      <c r="AK453">
        <v>51</v>
      </c>
      <c r="AL453" t="s">
        <v>132</v>
      </c>
      <c r="AM453">
        <v>650000</v>
      </c>
      <c r="AN453">
        <v>0.33300000000000002</v>
      </c>
      <c r="AO453">
        <v>841</v>
      </c>
      <c r="AP453">
        <v>807</v>
      </c>
      <c r="AQ453" t="s">
        <v>127</v>
      </c>
      <c r="AR453" t="s">
        <v>128</v>
      </c>
      <c r="AS453">
        <v>2</v>
      </c>
      <c r="AT453">
        <v>9.5100000000000004E-2</v>
      </c>
      <c r="AU453">
        <v>0.48670000000000002</v>
      </c>
      <c r="AV453">
        <v>518587.28</v>
      </c>
      <c r="AW453">
        <v>24002.9</v>
      </c>
      <c r="AX453" t="b">
        <v>0</v>
      </c>
      <c r="AY453" t="b">
        <v>0</v>
      </c>
      <c r="AZ453" t="s">
        <v>80</v>
      </c>
      <c r="BA453">
        <v>0</v>
      </c>
      <c r="BB453">
        <v>0</v>
      </c>
      <c r="BC453">
        <v>0</v>
      </c>
      <c r="BD453">
        <v>0</v>
      </c>
      <c r="BE453" t="s">
        <v>81</v>
      </c>
      <c r="BF453" t="b">
        <v>1</v>
      </c>
    </row>
    <row r="454" spans="1:58" x14ac:dyDescent="0.3">
      <c r="A454" t="s">
        <v>1084</v>
      </c>
      <c r="B454" t="s">
        <v>67</v>
      </c>
      <c r="C454" t="s">
        <v>1085</v>
      </c>
      <c r="D454" t="s">
        <v>84</v>
      </c>
      <c r="E454" t="s">
        <v>85</v>
      </c>
      <c r="F454" t="s">
        <v>71</v>
      </c>
      <c r="G454" s="1">
        <v>44925</v>
      </c>
      <c r="H454" s="1">
        <v>45596</v>
      </c>
      <c r="I454" s="1">
        <v>47085</v>
      </c>
      <c r="J454">
        <v>772700</v>
      </c>
      <c r="K454">
        <v>72</v>
      </c>
      <c r="L454">
        <v>50</v>
      </c>
      <c r="M454">
        <v>22</v>
      </c>
      <c r="N454">
        <v>10.47</v>
      </c>
      <c r="O454">
        <v>14498.73</v>
      </c>
      <c r="P454" t="s">
        <v>72</v>
      </c>
      <c r="Q454">
        <v>528122.01</v>
      </c>
      <c r="R454">
        <v>14498.73</v>
      </c>
      <c r="S454">
        <v>14740.9</v>
      </c>
      <c r="T454" s="1">
        <v>45568</v>
      </c>
      <c r="U454" t="s">
        <v>73</v>
      </c>
      <c r="V454">
        <v>0</v>
      </c>
      <c r="W454">
        <v>22</v>
      </c>
      <c r="X454">
        <v>22</v>
      </c>
      <c r="Y454">
        <v>0</v>
      </c>
      <c r="Z454">
        <v>0</v>
      </c>
      <c r="AA454">
        <v>0</v>
      </c>
      <c r="AB454" t="s">
        <v>117</v>
      </c>
      <c r="AC454" t="s">
        <v>160</v>
      </c>
      <c r="AD454">
        <v>2022</v>
      </c>
      <c r="AE454" t="s">
        <v>76</v>
      </c>
      <c r="AF454" t="b">
        <v>1</v>
      </c>
      <c r="AG454">
        <v>1211000</v>
      </c>
      <c r="AH454">
        <v>925362.72</v>
      </c>
      <c r="AI454">
        <v>0.6381</v>
      </c>
      <c r="AJ454">
        <v>0.59250000000000003</v>
      </c>
      <c r="AK454">
        <v>36</v>
      </c>
      <c r="AL454" t="s">
        <v>106</v>
      </c>
      <c r="AM454">
        <v>4838000</v>
      </c>
      <c r="AN454">
        <v>3.5999999999999997E-2</v>
      </c>
      <c r="AO454">
        <v>679</v>
      </c>
      <c r="AP454">
        <v>659</v>
      </c>
      <c r="AQ454" t="s">
        <v>91</v>
      </c>
      <c r="AR454" t="s">
        <v>252</v>
      </c>
      <c r="AS454">
        <v>1</v>
      </c>
      <c r="AT454">
        <v>1.89E-2</v>
      </c>
      <c r="AU454">
        <v>0.41360000000000002</v>
      </c>
      <c r="AV454">
        <v>545157.52</v>
      </c>
      <c r="AW454">
        <v>4261.5200000000004</v>
      </c>
      <c r="AX454" t="b">
        <v>0</v>
      </c>
      <c r="AY454" t="b">
        <v>0</v>
      </c>
      <c r="AZ454" t="s">
        <v>80</v>
      </c>
      <c r="BA454">
        <v>0</v>
      </c>
      <c r="BB454">
        <v>0</v>
      </c>
      <c r="BC454">
        <v>0</v>
      </c>
      <c r="BD454">
        <v>0</v>
      </c>
      <c r="BE454" t="s">
        <v>81</v>
      </c>
      <c r="BF454" t="b">
        <v>1</v>
      </c>
    </row>
    <row r="455" spans="1:58" x14ac:dyDescent="0.3">
      <c r="A455" t="s">
        <v>1086</v>
      </c>
      <c r="B455" t="s">
        <v>67</v>
      </c>
      <c r="C455" t="s">
        <v>1087</v>
      </c>
      <c r="D455" t="s">
        <v>84</v>
      </c>
      <c r="E455" t="s">
        <v>85</v>
      </c>
      <c r="F455" t="s">
        <v>124</v>
      </c>
      <c r="G455" s="1">
        <v>44233</v>
      </c>
      <c r="H455" s="1">
        <v>45596</v>
      </c>
      <c r="I455" s="1">
        <v>46033</v>
      </c>
      <c r="J455">
        <v>833800</v>
      </c>
      <c r="K455">
        <v>60</v>
      </c>
      <c r="L455">
        <v>16</v>
      </c>
      <c r="M455">
        <v>44</v>
      </c>
      <c r="N455">
        <v>9.5</v>
      </c>
      <c r="O455">
        <v>17511.349999999999</v>
      </c>
      <c r="P455" t="s">
        <v>72</v>
      </c>
      <c r="Q455">
        <v>206174.66</v>
      </c>
      <c r="R455">
        <v>17511.349999999999</v>
      </c>
      <c r="S455">
        <v>18302.75</v>
      </c>
      <c r="T455" s="1">
        <v>45581</v>
      </c>
      <c r="U455" t="s">
        <v>73</v>
      </c>
      <c r="V455">
        <v>0</v>
      </c>
      <c r="W455">
        <v>44</v>
      </c>
      <c r="X455">
        <v>44</v>
      </c>
      <c r="Y455">
        <v>0</v>
      </c>
      <c r="Z455">
        <v>0</v>
      </c>
      <c r="AA455">
        <v>0</v>
      </c>
      <c r="AB455" t="s">
        <v>104</v>
      </c>
      <c r="AC455" t="s">
        <v>105</v>
      </c>
      <c r="AD455">
        <v>2021</v>
      </c>
      <c r="AE455" t="s">
        <v>90</v>
      </c>
      <c r="AF455" t="b">
        <v>1</v>
      </c>
      <c r="AG455">
        <v>1339000</v>
      </c>
      <c r="AH455">
        <v>587379.62</v>
      </c>
      <c r="AI455">
        <v>0.62270000000000003</v>
      </c>
      <c r="AJ455">
        <v>0.32619999999999999</v>
      </c>
      <c r="AK455">
        <v>53</v>
      </c>
      <c r="AL455" t="s">
        <v>106</v>
      </c>
      <c r="AM455">
        <v>1329000</v>
      </c>
      <c r="AN455">
        <v>0.15809999999999999</v>
      </c>
      <c r="AO455">
        <v>843</v>
      </c>
      <c r="AP455">
        <v>869</v>
      </c>
      <c r="AQ455" t="s">
        <v>78</v>
      </c>
      <c r="AR455" t="s">
        <v>133</v>
      </c>
      <c r="AS455">
        <v>1</v>
      </c>
      <c r="AT455">
        <v>1.5100000000000001E-2</v>
      </c>
      <c r="AU455">
        <v>0.50670000000000004</v>
      </c>
      <c r="AV455">
        <v>207671.29</v>
      </c>
      <c r="AW455">
        <v>1588.93</v>
      </c>
      <c r="AX455" t="b">
        <v>0</v>
      </c>
      <c r="AY455" t="b">
        <v>0</v>
      </c>
      <c r="AZ455" t="s">
        <v>80</v>
      </c>
      <c r="BA455">
        <v>0</v>
      </c>
      <c r="BB455">
        <v>0</v>
      </c>
      <c r="BC455">
        <v>0</v>
      </c>
      <c r="BD455">
        <v>0</v>
      </c>
      <c r="BE455" t="s">
        <v>108</v>
      </c>
      <c r="BF455" t="b">
        <v>1</v>
      </c>
    </row>
    <row r="456" spans="1:58" x14ac:dyDescent="0.3">
      <c r="A456" t="s">
        <v>1088</v>
      </c>
      <c r="B456" t="s">
        <v>67</v>
      </c>
      <c r="C456" t="s">
        <v>1089</v>
      </c>
      <c r="D456" t="s">
        <v>95</v>
      </c>
      <c r="E456" t="s">
        <v>96</v>
      </c>
      <c r="F456" t="s">
        <v>115</v>
      </c>
      <c r="G456" s="1">
        <v>45354</v>
      </c>
      <c r="H456" s="1">
        <v>45596</v>
      </c>
      <c r="I456" s="1">
        <v>46794</v>
      </c>
      <c r="J456">
        <v>1552300</v>
      </c>
      <c r="K456">
        <v>48</v>
      </c>
      <c r="L456">
        <v>41</v>
      </c>
      <c r="M456">
        <v>7</v>
      </c>
      <c r="N456">
        <v>8.26</v>
      </c>
      <c r="O456">
        <v>38085.910000000003</v>
      </c>
      <c r="P456" t="s">
        <v>116</v>
      </c>
      <c r="Q456">
        <v>1360235.09</v>
      </c>
      <c r="R456">
        <v>38085.910000000003</v>
      </c>
      <c r="S456">
        <v>37050.39</v>
      </c>
      <c r="T456" s="1">
        <v>45582</v>
      </c>
      <c r="U456" t="s">
        <v>73</v>
      </c>
      <c r="V456">
        <v>0</v>
      </c>
      <c r="W456">
        <v>7</v>
      </c>
      <c r="X456">
        <v>7</v>
      </c>
      <c r="Y456">
        <v>0</v>
      </c>
      <c r="Z456">
        <v>0</v>
      </c>
      <c r="AA456">
        <v>0</v>
      </c>
      <c r="AB456" t="s">
        <v>74</v>
      </c>
      <c r="AC456" t="s">
        <v>260</v>
      </c>
      <c r="AD456">
        <v>2019</v>
      </c>
      <c r="AE456" t="s">
        <v>119</v>
      </c>
      <c r="AF456" t="b">
        <v>0</v>
      </c>
      <c r="AG456">
        <v>1725000</v>
      </c>
      <c r="AH456">
        <v>1525042.39</v>
      </c>
      <c r="AI456">
        <v>0.89990000000000003</v>
      </c>
      <c r="AJ456">
        <v>0.8609</v>
      </c>
      <c r="AK456">
        <v>36</v>
      </c>
      <c r="AL456" t="s">
        <v>106</v>
      </c>
      <c r="AM456">
        <v>4016000</v>
      </c>
      <c r="AN456">
        <v>0.1138</v>
      </c>
      <c r="AO456">
        <v>760</v>
      </c>
      <c r="AP456">
        <v>761</v>
      </c>
      <c r="AQ456" t="s">
        <v>78</v>
      </c>
      <c r="AR456" t="s">
        <v>79</v>
      </c>
      <c r="AS456">
        <v>1</v>
      </c>
      <c r="AT456">
        <v>2.1700000000000001E-2</v>
      </c>
      <c r="AU456">
        <v>0.4022</v>
      </c>
      <c r="AV456">
        <v>1374919.29</v>
      </c>
      <c r="AW456">
        <v>11999.94</v>
      </c>
      <c r="AX456" t="b">
        <v>0</v>
      </c>
      <c r="AY456" t="b">
        <v>0</v>
      </c>
      <c r="AZ456" t="s">
        <v>80</v>
      </c>
      <c r="BA456">
        <v>0</v>
      </c>
      <c r="BB456">
        <v>0</v>
      </c>
      <c r="BC456">
        <v>0</v>
      </c>
      <c r="BD456">
        <v>0</v>
      </c>
      <c r="BE456" t="s">
        <v>108</v>
      </c>
      <c r="BF456" t="b">
        <v>0</v>
      </c>
    </row>
    <row r="457" spans="1:58" x14ac:dyDescent="0.3">
      <c r="A457" t="s">
        <v>1090</v>
      </c>
      <c r="B457" t="s">
        <v>67</v>
      </c>
      <c r="C457" t="s">
        <v>1091</v>
      </c>
      <c r="D457" t="s">
        <v>84</v>
      </c>
      <c r="E457" t="s">
        <v>85</v>
      </c>
      <c r="F457" t="s">
        <v>71</v>
      </c>
      <c r="G457" s="1">
        <v>45553</v>
      </c>
      <c r="H457" s="1">
        <v>45596</v>
      </c>
      <c r="I457" s="1">
        <v>46633</v>
      </c>
      <c r="J457">
        <v>778700</v>
      </c>
      <c r="K457">
        <v>36</v>
      </c>
      <c r="L457">
        <v>35</v>
      </c>
      <c r="M457">
        <v>1</v>
      </c>
      <c r="N457">
        <v>13.35</v>
      </c>
      <c r="O457">
        <v>26368.95</v>
      </c>
      <c r="P457" t="s">
        <v>72</v>
      </c>
      <c r="Q457">
        <v>778700</v>
      </c>
      <c r="R457">
        <v>26368.95</v>
      </c>
      <c r="S457">
        <v>26712.68</v>
      </c>
      <c r="T457" s="1">
        <v>45583</v>
      </c>
      <c r="U457" t="s">
        <v>73</v>
      </c>
      <c r="V457">
        <v>0</v>
      </c>
      <c r="W457">
        <v>1</v>
      </c>
      <c r="X457">
        <v>1</v>
      </c>
      <c r="Y457">
        <v>0</v>
      </c>
      <c r="Z457">
        <v>0</v>
      </c>
      <c r="AA457">
        <v>0</v>
      </c>
      <c r="AB457" t="s">
        <v>104</v>
      </c>
      <c r="AC457" t="s">
        <v>156</v>
      </c>
      <c r="AD457">
        <v>2024</v>
      </c>
      <c r="AE457" t="s">
        <v>90</v>
      </c>
      <c r="AF457" t="b">
        <v>1</v>
      </c>
      <c r="AG457">
        <v>852000</v>
      </c>
      <c r="AH457">
        <v>760112.46</v>
      </c>
      <c r="AI457">
        <v>0.91400000000000003</v>
      </c>
      <c r="AJ457">
        <v>0.92510000000000003</v>
      </c>
      <c r="AK457">
        <v>22</v>
      </c>
      <c r="AL457" t="s">
        <v>106</v>
      </c>
      <c r="AM457">
        <v>4504000</v>
      </c>
      <c r="AN457">
        <v>7.0300000000000001E-2</v>
      </c>
      <c r="AO457">
        <v>680</v>
      </c>
      <c r="AP457">
        <v>648</v>
      </c>
      <c r="AQ457" t="s">
        <v>78</v>
      </c>
      <c r="AR457" t="s">
        <v>133</v>
      </c>
      <c r="AS457">
        <v>1</v>
      </c>
      <c r="AT457">
        <v>1.9199999999999998E-2</v>
      </c>
      <c r="AU457">
        <v>0.42980000000000002</v>
      </c>
      <c r="AV457">
        <v>809209.5</v>
      </c>
      <c r="AW457">
        <v>6677.73</v>
      </c>
      <c r="AX457" t="b">
        <v>0</v>
      </c>
      <c r="AY457" t="b">
        <v>0</v>
      </c>
      <c r="AZ457" t="s">
        <v>80</v>
      </c>
      <c r="BA457">
        <v>0</v>
      </c>
      <c r="BB457">
        <v>0</v>
      </c>
      <c r="BC457">
        <v>0</v>
      </c>
      <c r="BD457">
        <v>0</v>
      </c>
      <c r="BE457" t="s">
        <v>134</v>
      </c>
      <c r="BF457" t="b">
        <v>1</v>
      </c>
    </row>
    <row r="458" spans="1:58" x14ac:dyDescent="0.3">
      <c r="A458" t="s">
        <v>1092</v>
      </c>
      <c r="B458" t="s">
        <v>67</v>
      </c>
      <c r="C458" t="s">
        <v>1093</v>
      </c>
      <c r="D458" t="s">
        <v>69</v>
      </c>
      <c r="E458" t="s">
        <v>70</v>
      </c>
      <c r="F458" t="s">
        <v>124</v>
      </c>
      <c r="G458" s="1">
        <v>45183</v>
      </c>
      <c r="H458" s="1">
        <v>45596</v>
      </c>
      <c r="I458" s="1">
        <v>46983</v>
      </c>
      <c r="J458">
        <v>1476500</v>
      </c>
      <c r="K458">
        <v>60</v>
      </c>
      <c r="L458">
        <v>47</v>
      </c>
      <c r="M458">
        <v>13</v>
      </c>
      <c r="N458">
        <v>11.5</v>
      </c>
      <c r="O458">
        <v>32472.080000000002</v>
      </c>
      <c r="P458" t="s">
        <v>72</v>
      </c>
      <c r="Q458">
        <v>1211033.73</v>
      </c>
      <c r="R458">
        <v>32472.080000000002</v>
      </c>
      <c r="S458">
        <v>31051.77</v>
      </c>
      <c r="T458" s="1">
        <v>45593</v>
      </c>
      <c r="U458" t="s">
        <v>73</v>
      </c>
      <c r="V458">
        <v>0</v>
      </c>
      <c r="W458">
        <v>13</v>
      </c>
      <c r="X458">
        <v>13</v>
      </c>
      <c r="Y458">
        <v>0</v>
      </c>
      <c r="Z458">
        <v>0</v>
      </c>
      <c r="AA458">
        <v>0</v>
      </c>
      <c r="AB458" t="s">
        <v>174</v>
      </c>
      <c r="AC458" t="s">
        <v>305</v>
      </c>
      <c r="AD458">
        <v>2023</v>
      </c>
      <c r="AE458" t="s">
        <v>76</v>
      </c>
      <c r="AF458" t="b">
        <v>1</v>
      </c>
      <c r="AG458">
        <v>1673000</v>
      </c>
      <c r="AH458">
        <v>1303790.8700000001</v>
      </c>
      <c r="AI458">
        <v>0.88249999999999995</v>
      </c>
      <c r="AJ458">
        <v>0.85770000000000002</v>
      </c>
      <c r="AK458">
        <v>30</v>
      </c>
      <c r="AL458" t="s">
        <v>106</v>
      </c>
      <c r="AM458">
        <v>4020000</v>
      </c>
      <c r="AN458">
        <v>9.69E-2</v>
      </c>
      <c r="AO458">
        <v>752</v>
      </c>
      <c r="AP458">
        <v>771</v>
      </c>
      <c r="AQ458" t="s">
        <v>100</v>
      </c>
      <c r="AR458" t="s">
        <v>229</v>
      </c>
      <c r="AS458">
        <v>1</v>
      </c>
      <c r="AT458">
        <v>2.3E-2</v>
      </c>
      <c r="AU458">
        <v>0.3503</v>
      </c>
      <c r="AV458">
        <v>1251465.08</v>
      </c>
      <c r="AW458">
        <v>10082.93</v>
      </c>
      <c r="AX458" t="b">
        <v>0</v>
      </c>
      <c r="AY458" t="b">
        <v>0</v>
      </c>
      <c r="AZ458" t="s">
        <v>80</v>
      </c>
      <c r="BA458">
        <v>0</v>
      </c>
      <c r="BB458">
        <v>0</v>
      </c>
      <c r="BC458">
        <v>0</v>
      </c>
      <c r="BD458">
        <v>0</v>
      </c>
      <c r="BE458" t="s">
        <v>134</v>
      </c>
      <c r="BF458" t="b">
        <v>1</v>
      </c>
    </row>
    <row r="459" spans="1:58" x14ac:dyDescent="0.3">
      <c r="A459" t="s">
        <v>1094</v>
      </c>
      <c r="B459" t="s">
        <v>67</v>
      </c>
      <c r="C459" t="s">
        <v>1095</v>
      </c>
      <c r="D459" t="s">
        <v>84</v>
      </c>
      <c r="E459" t="s">
        <v>85</v>
      </c>
      <c r="F459" t="s">
        <v>71</v>
      </c>
      <c r="G459" s="1">
        <v>44989</v>
      </c>
      <c r="H459" s="1">
        <v>45596</v>
      </c>
      <c r="I459" s="1">
        <v>46069</v>
      </c>
      <c r="J459">
        <v>759700</v>
      </c>
      <c r="K459">
        <v>36</v>
      </c>
      <c r="L459">
        <v>17</v>
      </c>
      <c r="M459">
        <v>19</v>
      </c>
      <c r="N459">
        <v>10.130000000000001</v>
      </c>
      <c r="O459">
        <v>24559.78</v>
      </c>
      <c r="P459" t="s">
        <v>116</v>
      </c>
      <c r="Q459">
        <v>325885.24</v>
      </c>
      <c r="R459">
        <v>24559.78</v>
      </c>
      <c r="S459">
        <v>24414.02</v>
      </c>
      <c r="T459" s="1">
        <v>45578</v>
      </c>
      <c r="U459" t="s">
        <v>73</v>
      </c>
      <c r="V459">
        <v>0</v>
      </c>
      <c r="W459">
        <v>19</v>
      </c>
      <c r="X459">
        <v>19</v>
      </c>
      <c r="Y459">
        <v>0</v>
      </c>
      <c r="Z459">
        <v>0</v>
      </c>
      <c r="AA459">
        <v>0</v>
      </c>
      <c r="AB459" t="s">
        <v>97</v>
      </c>
      <c r="AC459" t="s">
        <v>98</v>
      </c>
      <c r="AD459">
        <v>2021</v>
      </c>
      <c r="AE459" t="s">
        <v>90</v>
      </c>
      <c r="AF459" t="b">
        <v>0</v>
      </c>
      <c r="AG459">
        <v>845000</v>
      </c>
      <c r="AH459">
        <v>638084.80000000005</v>
      </c>
      <c r="AI459">
        <v>0.89910000000000001</v>
      </c>
      <c r="AJ459">
        <v>0.49959999999999999</v>
      </c>
      <c r="AK459">
        <v>40</v>
      </c>
      <c r="AL459" t="s">
        <v>132</v>
      </c>
      <c r="AM459">
        <v>1977000</v>
      </c>
      <c r="AN459">
        <v>0.14910000000000001</v>
      </c>
      <c r="AO459">
        <v>838</v>
      </c>
      <c r="AP459">
        <v>829</v>
      </c>
      <c r="AQ459" t="s">
        <v>145</v>
      </c>
      <c r="AR459" t="s">
        <v>182</v>
      </c>
      <c r="AS459">
        <v>1</v>
      </c>
      <c r="AT459">
        <v>1.46E-2</v>
      </c>
      <c r="AU459">
        <v>0.46050000000000002</v>
      </c>
      <c r="AV459">
        <v>336272.88</v>
      </c>
      <c r="AW459">
        <v>2260.86</v>
      </c>
      <c r="AX459" t="b">
        <v>0</v>
      </c>
      <c r="AY459" t="b">
        <v>0</v>
      </c>
      <c r="AZ459" t="s">
        <v>80</v>
      </c>
      <c r="BA459">
        <v>0</v>
      </c>
      <c r="BB459">
        <v>0</v>
      </c>
      <c r="BC459">
        <v>0</v>
      </c>
      <c r="BD459">
        <v>0</v>
      </c>
      <c r="BE459" t="s">
        <v>108</v>
      </c>
      <c r="BF459" t="b">
        <v>0</v>
      </c>
    </row>
    <row r="460" spans="1:58" x14ac:dyDescent="0.3">
      <c r="A460" t="s">
        <v>1096</v>
      </c>
      <c r="B460" t="s">
        <v>67</v>
      </c>
      <c r="C460" t="s">
        <v>1097</v>
      </c>
      <c r="D460" t="s">
        <v>69</v>
      </c>
      <c r="E460" t="s">
        <v>70</v>
      </c>
      <c r="F460" t="s">
        <v>71</v>
      </c>
      <c r="G460" s="1">
        <v>44316</v>
      </c>
      <c r="H460" s="1">
        <v>45596</v>
      </c>
      <c r="I460" s="1">
        <v>46116</v>
      </c>
      <c r="J460">
        <v>2113200</v>
      </c>
      <c r="K460">
        <v>60</v>
      </c>
      <c r="L460">
        <v>18</v>
      </c>
      <c r="M460">
        <v>42</v>
      </c>
      <c r="N460">
        <v>7.64</v>
      </c>
      <c r="O460">
        <v>42484.92</v>
      </c>
      <c r="P460" t="s">
        <v>72</v>
      </c>
      <c r="Q460">
        <v>646512.43999999994</v>
      </c>
      <c r="R460">
        <v>42484.92</v>
      </c>
      <c r="S460">
        <v>44314.37</v>
      </c>
      <c r="T460" s="1">
        <v>45584</v>
      </c>
      <c r="U460" t="s">
        <v>73</v>
      </c>
      <c r="V460">
        <v>0</v>
      </c>
      <c r="W460">
        <v>42</v>
      </c>
      <c r="X460">
        <v>42</v>
      </c>
      <c r="Y460">
        <v>0</v>
      </c>
      <c r="Z460">
        <v>0</v>
      </c>
      <c r="AA460">
        <v>0</v>
      </c>
      <c r="AB460" t="s">
        <v>164</v>
      </c>
      <c r="AC460" t="s">
        <v>279</v>
      </c>
      <c r="AD460">
        <v>2021</v>
      </c>
      <c r="AE460" t="s">
        <v>166</v>
      </c>
      <c r="AF460" t="b">
        <v>1</v>
      </c>
      <c r="AG460">
        <v>2613000</v>
      </c>
      <c r="AH460">
        <v>1255803.4099999999</v>
      </c>
      <c r="AI460">
        <v>0.80869999999999997</v>
      </c>
      <c r="AJ460">
        <v>0.49880000000000002</v>
      </c>
      <c r="AK460">
        <v>56</v>
      </c>
      <c r="AL460" t="s">
        <v>120</v>
      </c>
      <c r="AM460">
        <v>4637000</v>
      </c>
      <c r="AN460">
        <v>0.1099</v>
      </c>
      <c r="AO460">
        <v>662</v>
      </c>
      <c r="AP460">
        <v>632</v>
      </c>
      <c r="AQ460" t="s">
        <v>78</v>
      </c>
      <c r="AR460" t="s">
        <v>79</v>
      </c>
      <c r="AS460">
        <v>1</v>
      </c>
      <c r="AT460">
        <v>1.6400000000000001E-2</v>
      </c>
      <c r="AU460">
        <v>0.41959999999999997</v>
      </c>
      <c r="AV460">
        <v>676809.36</v>
      </c>
      <c r="AW460">
        <v>4657.42</v>
      </c>
      <c r="AX460" t="b">
        <v>0</v>
      </c>
      <c r="AY460" t="b">
        <v>0</v>
      </c>
      <c r="AZ460" t="s">
        <v>80</v>
      </c>
      <c r="BA460">
        <v>0</v>
      </c>
      <c r="BB460">
        <v>0</v>
      </c>
      <c r="BC460">
        <v>0</v>
      </c>
      <c r="BD460">
        <v>0</v>
      </c>
      <c r="BE460" t="s">
        <v>108</v>
      </c>
      <c r="BF460" t="b">
        <v>1</v>
      </c>
    </row>
    <row r="461" spans="1:58" x14ac:dyDescent="0.3">
      <c r="A461" t="s">
        <v>1098</v>
      </c>
      <c r="B461" t="s">
        <v>67</v>
      </c>
      <c r="C461" t="s">
        <v>1099</v>
      </c>
      <c r="D461" t="s">
        <v>84</v>
      </c>
      <c r="E461" t="s">
        <v>85</v>
      </c>
      <c r="F461" t="s">
        <v>86</v>
      </c>
      <c r="G461" s="1">
        <v>45018</v>
      </c>
      <c r="H461" s="1">
        <v>45596</v>
      </c>
      <c r="I461" s="1">
        <v>46458</v>
      </c>
      <c r="J461">
        <v>500400</v>
      </c>
      <c r="K461">
        <v>48</v>
      </c>
      <c r="L461">
        <v>30</v>
      </c>
      <c r="M461">
        <v>18</v>
      </c>
      <c r="N461">
        <v>12.25</v>
      </c>
      <c r="O461">
        <v>13238.96</v>
      </c>
      <c r="P461" t="s">
        <v>72</v>
      </c>
      <c r="Q461">
        <v>285162.07</v>
      </c>
      <c r="R461">
        <v>13238.96</v>
      </c>
      <c r="S461">
        <v>1491.78</v>
      </c>
      <c r="T461" s="1">
        <v>45571</v>
      </c>
      <c r="U461" t="s">
        <v>140</v>
      </c>
      <c r="V461">
        <v>259</v>
      </c>
      <c r="W461">
        <v>18</v>
      </c>
      <c r="X461">
        <v>13</v>
      </c>
      <c r="Y461">
        <v>0</v>
      </c>
      <c r="Z461">
        <v>0</v>
      </c>
      <c r="AA461">
        <v>0</v>
      </c>
      <c r="AB461" t="s">
        <v>74</v>
      </c>
      <c r="AC461" t="s">
        <v>188</v>
      </c>
      <c r="AD461">
        <v>2023</v>
      </c>
      <c r="AE461" t="s">
        <v>99</v>
      </c>
      <c r="AF461" t="b">
        <v>1</v>
      </c>
      <c r="AG461">
        <v>745000</v>
      </c>
      <c r="AH461">
        <v>560017.82999999996</v>
      </c>
      <c r="AI461">
        <v>0.67169999999999996</v>
      </c>
      <c r="AJ461">
        <v>0.48820000000000002</v>
      </c>
      <c r="AK461">
        <v>23</v>
      </c>
      <c r="AL461" t="s">
        <v>120</v>
      </c>
      <c r="AM461">
        <v>829000</v>
      </c>
      <c r="AN461">
        <v>0.19159999999999999</v>
      </c>
      <c r="AO461">
        <v>842</v>
      </c>
      <c r="AP461">
        <v>846</v>
      </c>
      <c r="AQ461" t="s">
        <v>100</v>
      </c>
      <c r="AR461" t="s">
        <v>149</v>
      </c>
      <c r="AS461">
        <v>3</v>
      </c>
      <c r="AT461">
        <v>0.75160000000000005</v>
      </c>
      <c r="AU461">
        <v>0.52780000000000005</v>
      </c>
      <c r="AV461">
        <v>295513.26</v>
      </c>
      <c r="AW461">
        <v>117228.48</v>
      </c>
      <c r="AX461" t="b">
        <v>0</v>
      </c>
      <c r="AY461" t="b">
        <v>0</v>
      </c>
      <c r="AZ461" t="s">
        <v>80</v>
      </c>
      <c r="BA461">
        <v>0</v>
      </c>
      <c r="BB461">
        <v>0</v>
      </c>
      <c r="BC461">
        <v>0</v>
      </c>
      <c r="BD461">
        <v>0</v>
      </c>
      <c r="BE461" t="s">
        <v>81</v>
      </c>
      <c r="BF461" t="b">
        <v>1</v>
      </c>
    </row>
    <row r="462" spans="1:58" x14ac:dyDescent="0.3">
      <c r="A462" t="s">
        <v>1100</v>
      </c>
      <c r="B462" t="s">
        <v>67</v>
      </c>
      <c r="C462" t="s">
        <v>1101</v>
      </c>
      <c r="D462" t="s">
        <v>84</v>
      </c>
      <c r="E462" t="s">
        <v>85</v>
      </c>
      <c r="F462" t="s">
        <v>124</v>
      </c>
      <c r="G462" s="1">
        <v>44285</v>
      </c>
      <c r="H462" s="1">
        <v>45596</v>
      </c>
      <c r="I462" s="1">
        <v>46085</v>
      </c>
      <c r="J462">
        <v>370100</v>
      </c>
      <c r="K462">
        <v>60</v>
      </c>
      <c r="L462">
        <v>17</v>
      </c>
      <c r="M462">
        <v>43</v>
      </c>
      <c r="N462">
        <v>13.32</v>
      </c>
      <c r="O462">
        <v>8481.66</v>
      </c>
      <c r="P462" t="s">
        <v>72</v>
      </c>
      <c r="Q462">
        <v>100641.4</v>
      </c>
      <c r="R462">
        <v>8481.66</v>
      </c>
      <c r="S462">
        <v>4115.26</v>
      </c>
      <c r="T462" s="1">
        <v>45582</v>
      </c>
      <c r="U462" t="s">
        <v>131</v>
      </c>
      <c r="V462">
        <v>86</v>
      </c>
      <c r="W462">
        <v>43</v>
      </c>
      <c r="X462">
        <v>37</v>
      </c>
      <c r="Y462">
        <v>1</v>
      </c>
      <c r="Z462">
        <v>0</v>
      </c>
      <c r="AA462">
        <v>2</v>
      </c>
      <c r="AB462" t="s">
        <v>74</v>
      </c>
      <c r="AC462" t="s">
        <v>188</v>
      </c>
      <c r="AD462">
        <v>2021</v>
      </c>
      <c r="AE462" t="s">
        <v>99</v>
      </c>
      <c r="AF462" t="b">
        <v>1</v>
      </c>
      <c r="AG462">
        <v>551000</v>
      </c>
      <c r="AH462">
        <v>280438.40999999997</v>
      </c>
      <c r="AI462">
        <v>0.67169999999999996</v>
      </c>
      <c r="AJ462">
        <v>0.37740000000000001</v>
      </c>
      <c r="AK462">
        <v>31</v>
      </c>
      <c r="AL462" t="s">
        <v>77</v>
      </c>
      <c r="AM462">
        <v>4554000</v>
      </c>
      <c r="AN462">
        <v>2.23E-2</v>
      </c>
      <c r="AO462">
        <v>839</v>
      </c>
      <c r="AP462">
        <v>852</v>
      </c>
      <c r="AQ462" t="s">
        <v>78</v>
      </c>
      <c r="AR462" t="s">
        <v>79</v>
      </c>
      <c r="AS462">
        <v>2</v>
      </c>
      <c r="AT462">
        <v>9.64E-2</v>
      </c>
      <c r="AU462">
        <v>0.51380000000000003</v>
      </c>
      <c r="AV462">
        <v>104337.7</v>
      </c>
      <c r="AW462">
        <v>5167.88</v>
      </c>
      <c r="AX462" t="b">
        <v>0</v>
      </c>
      <c r="AY462" t="b">
        <v>0</v>
      </c>
      <c r="AZ462" t="s">
        <v>80</v>
      </c>
      <c r="BA462">
        <v>0</v>
      </c>
      <c r="BB462">
        <v>0</v>
      </c>
      <c r="BC462">
        <v>0</v>
      </c>
      <c r="BD462">
        <v>0</v>
      </c>
      <c r="BE462" t="s">
        <v>108</v>
      </c>
      <c r="BF462" t="b">
        <v>0</v>
      </c>
    </row>
    <row r="463" spans="1:58" x14ac:dyDescent="0.3">
      <c r="A463" t="s">
        <v>1102</v>
      </c>
      <c r="B463" t="s">
        <v>67</v>
      </c>
      <c r="C463" t="s">
        <v>1103</v>
      </c>
      <c r="D463" t="s">
        <v>84</v>
      </c>
      <c r="E463" t="s">
        <v>85</v>
      </c>
      <c r="F463" t="s">
        <v>71</v>
      </c>
      <c r="G463" s="1">
        <v>44671</v>
      </c>
      <c r="H463" s="1">
        <v>45596</v>
      </c>
      <c r="I463" s="1">
        <v>46471</v>
      </c>
      <c r="J463">
        <v>750500</v>
      </c>
      <c r="K463">
        <v>60</v>
      </c>
      <c r="L463">
        <v>30</v>
      </c>
      <c r="M463">
        <v>30</v>
      </c>
      <c r="N463">
        <v>10.36</v>
      </c>
      <c r="O463">
        <v>16079.17</v>
      </c>
      <c r="P463" t="s">
        <v>72</v>
      </c>
      <c r="Q463">
        <v>356776.7</v>
      </c>
      <c r="R463">
        <v>16079.17</v>
      </c>
      <c r="S463">
        <v>16626.96</v>
      </c>
      <c r="T463" s="1">
        <v>45585</v>
      </c>
      <c r="U463" t="s">
        <v>73</v>
      </c>
      <c r="V463">
        <v>0</v>
      </c>
      <c r="W463">
        <v>30</v>
      </c>
      <c r="X463">
        <v>30</v>
      </c>
      <c r="Y463">
        <v>0</v>
      </c>
      <c r="Z463">
        <v>0</v>
      </c>
      <c r="AA463">
        <v>0</v>
      </c>
      <c r="AB463" t="s">
        <v>97</v>
      </c>
      <c r="AC463" t="s">
        <v>98</v>
      </c>
      <c r="AD463">
        <v>2022</v>
      </c>
      <c r="AE463" t="s">
        <v>90</v>
      </c>
      <c r="AF463" t="b">
        <v>1</v>
      </c>
      <c r="AG463">
        <v>895000</v>
      </c>
      <c r="AH463">
        <v>541170.92000000004</v>
      </c>
      <c r="AI463">
        <v>0.83850000000000002</v>
      </c>
      <c r="AJ463">
        <v>0.62290000000000001</v>
      </c>
      <c r="AK463">
        <v>52</v>
      </c>
      <c r="AL463" t="s">
        <v>132</v>
      </c>
      <c r="AM463">
        <v>2227000</v>
      </c>
      <c r="AN463">
        <v>8.6599999999999996E-2</v>
      </c>
      <c r="AO463">
        <v>789</v>
      </c>
      <c r="AP463">
        <v>793</v>
      </c>
      <c r="AQ463" t="s">
        <v>127</v>
      </c>
      <c r="AR463" t="s">
        <v>128</v>
      </c>
      <c r="AS463">
        <v>1</v>
      </c>
      <c r="AT463">
        <v>2.4299999999999999E-2</v>
      </c>
      <c r="AU463">
        <v>0.35460000000000003</v>
      </c>
      <c r="AV463">
        <v>370415.13</v>
      </c>
      <c r="AW463">
        <v>3191.79</v>
      </c>
      <c r="AX463" t="b">
        <v>0</v>
      </c>
      <c r="AY463" t="b">
        <v>0</v>
      </c>
      <c r="AZ463" t="s">
        <v>80</v>
      </c>
      <c r="BA463">
        <v>0</v>
      </c>
      <c r="BB463">
        <v>0</v>
      </c>
      <c r="BC463">
        <v>0</v>
      </c>
      <c r="BD463">
        <v>0</v>
      </c>
      <c r="BE463" t="s">
        <v>108</v>
      </c>
      <c r="BF463" t="b">
        <v>1</v>
      </c>
    </row>
    <row r="464" spans="1:58" x14ac:dyDescent="0.3">
      <c r="A464" t="s">
        <v>1104</v>
      </c>
      <c r="B464" t="s">
        <v>67</v>
      </c>
      <c r="C464" t="s">
        <v>1105</v>
      </c>
      <c r="D464" t="s">
        <v>95</v>
      </c>
      <c r="E464" t="s">
        <v>96</v>
      </c>
      <c r="F464" t="s">
        <v>71</v>
      </c>
      <c r="G464" s="1">
        <v>44912</v>
      </c>
      <c r="H464" s="1">
        <v>45596</v>
      </c>
      <c r="I464" s="1">
        <v>46712</v>
      </c>
      <c r="J464">
        <v>476800</v>
      </c>
      <c r="K464">
        <v>60</v>
      </c>
      <c r="L464">
        <v>38</v>
      </c>
      <c r="M464">
        <v>22</v>
      </c>
      <c r="N464">
        <v>10.33</v>
      </c>
      <c r="O464">
        <v>10208.18</v>
      </c>
      <c r="P464" t="s">
        <v>116</v>
      </c>
      <c r="Q464">
        <v>278585.82</v>
      </c>
      <c r="R464">
        <v>10208.18</v>
      </c>
      <c r="S464">
        <v>9827.2900000000009</v>
      </c>
      <c r="T464" s="1">
        <v>45594</v>
      </c>
      <c r="U464" t="s">
        <v>73</v>
      </c>
      <c r="V464">
        <v>0</v>
      </c>
      <c r="W464">
        <v>22</v>
      </c>
      <c r="X464">
        <v>22</v>
      </c>
      <c r="Y464">
        <v>0</v>
      </c>
      <c r="Z464">
        <v>0</v>
      </c>
      <c r="AA464">
        <v>0</v>
      </c>
      <c r="AB464" t="s">
        <v>111</v>
      </c>
      <c r="AC464" t="s">
        <v>228</v>
      </c>
      <c r="AD464">
        <v>2018</v>
      </c>
      <c r="AE464" t="s">
        <v>119</v>
      </c>
      <c r="AF464" t="b">
        <v>0</v>
      </c>
      <c r="AG464">
        <v>504000</v>
      </c>
      <c r="AH464">
        <v>396974.81</v>
      </c>
      <c r="AI464">
        <v>0.94610000000000005</v>
      </c>
      <c r="AJ464">
        <v>0.751</v>
      </c>
      <c r="AK464">
        <v>56</v>
      </c>
      <c r="AL464" t="s">
        <v>77</v>
      </c>
      <c r="AM464">
        <v>642000</v>
      </c>
      <c r="AN464">
        <v>0.1908</v>
      </c>
      <c r="AO464">
        <v>796</v>
      </c>
      <c r="AP464">
        <v>763</v>
      </c>
      <c r="AQ464" t="s">
        <v>91</v>
      </c>
      <c r="AR464" t="s">
        <v>252</v>
      </c>
      <c r="AS464">
        <v>1</v>
      </c>
      <c r="AT464">
        <v>1.9199999999999998E-2</v>
      </c>
      <c r="AU464">
        <v>0.53269999999999995</v>
      </c>
      <c r="AV464">
        <v>282608.65999999997</v>
      </c>
      <c r="AW464">
        <v>2890.48</v>
      </c>
      <c r="AX464" t="b">
        <v>0</v>
      </c>
      <c r="AY464" t="b">
        <v>0</v>
      </c>
      <c r="AZ464" t="s">
        <v>80</v>
      </c>
      <c r="BA464">
        <v>0</v>
      </c>
      <c r="BB464">
        <v>0</v>
      </c>
      <c r="BC464">
        <v>0</v>
      </c>
      <c r="BD464">
        <v>0</v>
      </c>
      <c r="BE464" t="s">
        <v>81</v>
      </c>
      <c r="BF464" t="b">
        <v>1</v>
      </c>
    </row>
    <row r="465" spans="1:58" x14ac:dyDescent="0.3">
      <c r="A465" t="s">
        <v>1106</v>
      </c>
      <c r="B465" t="s">
        <v>67</v>
      </c>
      <c r="C465" t="s">
        <v>1107</v>
      </c>
      <c r="D465" t="s">
        <v>69</v>
      </c>
      <c r="E465" t="s">
        <v>70</v>
      </c>
      <c r="F465" t="s">
        <v>86</v>
      </c>
      <c r="G465" s="1">
        <v>44266</v>
      </c>
      <c r="H465" s="1">
        <v>45596</v>
      </c>
      <c r="I465" s="1">
        <v>46066</v>
      </c>
      <c r="J465">
        <v>1001600</v>
      </c>
      <c r="K465">
        <v>60</v>
      </c>
      <c r="L465">
        <v>17</v>
      </c>
      <c r="M465">
        <v>43</v>
      </c>
      <c r="N465">
        <v>11.05</v>
      </c>
      <c r="O465">
        <v>21802.19</v>
      </c>
      <c r="P465" t="s">
        <v>72</v>
      </c>
      <c r="Q465">
        <v>267832.21999999997</v>
      </c>
      <c r="R465">
        <v>21802.19</v>
      </c>
      <c r="S465">
        <v>22388.9</v>
      </c>
      <c r="T465" s="1">
        <v>45585</v>
      </c>
      <c r="U465" t="s">
        <v>73</v>
      </c>
      <c r="V465">
        <v>0</v>
      </c>
      <c r="W465">
        <v>43</v>
      </c>
      <c r="X465">
        <v>43</v>
      </c>
      <c r="Y465">
        <v>0</v>
      </c>
      <c r="Z465">
        <v>0</v>
      </c>
      <c r="AA465">
        <v>0</v>
      </c>
      <c r="AB465" t="s">
        <v>104</v>
      </c>
      <c r="AC465" t="s">
        <v>105</v>
      </c>
      <c r="AD465">
        <v>2021</v>
      </c>
      <c r="AE465" t="s">
        <v>90</v>
      </c>
      <c r="AF465" t="b">
        <v>1</v>
      </c>
      <c r="AG465">
        <v>1176000</v>
      </c>
      <c r="AH465">
        <v>515250.16</v>
      </c>
      <c r="AI465">
        <v>0.85170000000000001</v>
      </c>
      <c r="AJ465">
        <v>0.47060000000000002</v>
      </c>
      <c r="AK465">
        <v>44</v>
      </c>
      <c r="AL465" t="s">
        <v>106</v>
      </c>
      <c r="AM465">
        <v>3283000</v>
      </c>
      <c r="AN465">
        <v>7.9699999999999993E-2</v>
      </c>
      <c r="AO465">
        <v>791</v>
      </c>
      <c r="AP465">
        <v>821</v>
      </c>
      <c r="AQ465" t="s">
        <v>145</v>
      </c>
      <c r="AR465" t="s">
        <v>146</v>
      </c>
      <c r="AS465">
        <v>1</v>
      </c>
      <c r="AT465">
        <v>2.5100000000000001E-2</v>
      </c>
      <c r="AU465">
        <v>0.42059999999999997</v>
      </c>
      <c r="AV465">
        <v>275116.84000000003</v>
      </c>
      <c r="AW465">
        <v>2904.42</v>
      </c>
      <c r="AX465" t="b">
        <v>0</v>
      </c>
      <c r="AY465" t="b">
        <v>0</v>
      </c>
      <c r="AZ465" t="s">
        <v>80</v>
      </c>
      <c r="BA465">
        <v>0</v>
      </c>
      <c r="BB465">
        <v>0</v>
      </c>
      <c r="BC465">
        <v>0</v>
      </c>
      <c r="BD465">
        <v>0</v>
      </c>
      <c r="BE465" t="s">
        <v>108</v>
      </c>
      <c r="BF465" t="b">
        <v>1</v>
      </c>
    </row>
    <row r="466" spans="1:58" x14ac:dyDescent="0.3">
      <c r="A466" t="s">
        <v>1108</v>
      </c>
      <c r="B466" t="s">
        <v>67</v>
      </c>
      <c r="C466" t="s">
        <v>1109</v>
      </c>
      <c r="D466" t="s">
        <v>84</v>
      </c>
      <c r="E466" t="s">
        <v>85</v>
      </c>
      <c r="F466" t="s">
        <v>115</v>
      </c>
      <c r="G466" s="1">
        <v>45457</v>
      </c>
      <c r="H466" s="1">
        <v>45596</v>
      </c>
      <c r="I466" s="1">
        <v>47617</v>
      </c>
      <c r="J466">
        <v>727400</v>
      </c>
      <c r="K466">
        <v>72</v>
      </c>
      <c r="L466">
        <v>68</v>
      </c>
      <c r="M466">
        <v>4</v>
      </c>
      <c r="N466">
        <v>10.96</v>
      </c>
      <c r="O466">
        <v>13830.49</v>
      </c>
      <c r="P466" t="s">
        <v>72</v>
      </c>
      <c r="Q466">
        <v>673132.05</v>
      </c>
      <c r="R466">
        <v>13830.49</v>
      </c>
      <c r="S466">
        <v>13648.87</v>
      </c>
      <c r="T466" s="1">
        <v>45579</v>
      </c>
      <c r="U466" t="s">
        <v>73</v>
      </c>
      <c r="V466">
        <v>0</v>
      </c>
      <c r="W466">
        <v>4</v>
      </c>
      <c r="X466">
        <v>4</v>
      </c>
      <c r="Y466">
        <v>0</v>
      </c>
      <c r="Z466">
        <v>0</v>
      </c>
      <c r="AA466">
        <v>0</v>
      </c>
      <c r="AB466" t="s">
        <v>164</v>
      </c>
      <c r="AC466" t="s">
        <v>165</v>
      </c>
      <c r="AD466">
        <v>2024</v>
      </c>
      <c r="AE466" t="s">
        <v>99</v>
      </c>
      <c r="AF466" t="b">
        <v>1</v>
      </c>
      <c r="AG466">
        <v>1169000</v>
      </c>
      <c r="AH466">
        <v>1198139.77</v>
      </c>
      <c r="AI466">
        <v>0.62219999999999998</v>
      </c>
      <c r="AJ466">
        <v>0.60489999999999999</v>
      </c>
      <c r="AK466">
        <v>56</v>
      </c>
      <c r="AL466" t="s">
        <v>77</v>
      </c>
      <c r="AM466">
        <v>4328000</v>
      </c>
      <c r="AN466">
        <v>3.8300000000000001E-2</v>
      </c>
      <c r="AO466">
        <v>797</v>
      </c>
      <c r="AP466">
        <v>802</v>
      </c>
      <c r="AQ466" t="s">
        <v>78</v>
      </c>
      <c r="AR466" t="s">
        <v>133</v>
      </c>
      <c r="AS466">
        <v>1</v>
      </c>
      <c r="AT466">
        <v>2.35E-2</v>
      </c>
      <c r="AU466">
        <v>0.50960000000000005</v>
      </c>
      <c r="AV466">
        <v>696071.14</v>
      </c>
      <c r="AW466">
        <v>8335.8700000000008</v>
      </c>
      <c r="AX466" t="b">
        <v>0</v>
      </c>
      <c r="AY466" t="b">
        <v>0</v>
      </c>
      <c r="AZ466" t="s">
        <v>80</v>
      </c>
      <c r="BA466">
        <v>0</v>
      </c>
      <c r="BB466">
        <v>0</v>
      </c>
      <c r="BC466">
        <v>0</v>
      </c>
      <c r="BD466">
        <v>26701.81</v>
      </c>
      <c r="BE466" t="s">
        <v>81</v>
      </c>
      <c r="BF466" t="b">
        <v>1</v>
      </c>
    </row>
    <row r="467" spans="1:58" x14ac:dyDescent="0.3">
      <c r="A467" t="s">
        <v>1110</v>
      </c>
      <c r="B467" t="s">
        <v>67</v>
      </c>
      <c r="C467" t="s">
        <v>1111</v>
      </c>
      <c r="D467" t="s">
        <v>84</v>
      </c>
      <c r="E467" t="s">
        <v>85</v>
      </c>
      <c r="F467" t="s">
        <v>86</v>
      </c>
      <c r="G467" s="1">
        <v>45555</v>
      </c>
      <c r="H467" s="1">
        <v>45596</v>
      </c>
      <c r="I467" s="1">
        <v>46635</v>
      </c>
      <c r="J467">
        <v>809200</v>
      </c>
      <c r="K467">
        <v>36</v>
      </c>
      <c r="L467">
        <v>35</v>
      </c>
      <c r="M467">
        <v>1</v>
      </c>
      <c r="N467">
        <v>7.71</v>
      </c>
      <c r="O467">
        <v>25249.27</v>
      </c>
      <c r="P467" t="s">
        <v>72</v>
      </c>
      <c r="Q467">
        <v>722780.45</v>
      </c>
      <c r="R467">
        <v>25249.27</v>
      </c>
      <c r="S467">
        <v>26124.77</v>
      </c>
      <c r="T467" s="1">
        <v>45571</v>
      </c>
      <c r="U467" t="s">
        <v>73</v>
      </c>
      <c r="V467">
        <v>0</v>
      </c>
      <c r="W467">
        <v>1</v>
      </c>
      <c r="X467">
        <v>1</v>
      </c>
      <c r="Y467">
        <v>0</v>
      </c>
      <c r="Z467">
        <v>0</v>
      </c>
      <c r="AA467">
        <v>0</v>
      </c>
      <c r="AB467" t="s">
        <v>111</v>
      </c>
      <c r="AC467" t="s">
        <v>197</v>
      </c>
      <c r="AD467">
        <v>2024</v>
      </c>
      <c r="AE467" t="s">
        <v>90</v>
      </c>
      <c r="AF467" t="b">
        <v>1</v>
      </c>
      <c r="AG467">
        <v>1065000</v>
      </c>
      <c r="AH467">
        <v>1121731.4099999999</v>
      </c>
      <c r="AI467">
        <v>0.75980000000000003</v>
      </c>
      <c r="AJ467">
        <v>0.68689999999999996</v>
      </c>
      <c r="AK467">
        <v>56</v>
      </c>
      <c r="AL467" t="s">
        <v>77</v>
      </c>
      <c r="AM467">
        <v>3958000</v>
      </c>
      <c r="AN467">
        <v>7.6600000000000001E-2</v>
      </c>
      <c r="AO467">
        <v>737</v>
      </c>
      <c r="AP467">
        <v>734</v>
      </c>
      <c r="AQ467" t="s">
        <v>91</v>
      </c>
      <c r="AR467" t="s">
        <v>192</v>
      </c>
      <c r="AS467">
        <v>1</v>
      </c>
      <c r="AT467">
        <v>1.6199999999999999E-2</v>
      </c>
      <c r="AU467">
        <v>0.42399999999999999</v>
      </c>
      <c r="AV467">
        <v>757171.78</v>
      </c>
      <c r="AW467">
        <v>5200.8599999999997</v>
      </c>
      <c r="AX467" t="b">
        <v>0</v>
      </c>
      <c r="AY467" t="b">
        <v>0</v>
      </c>
      <c r="AZ467" t="s">
        <v>80</v>
      </c>
      <c r="BA467">
        <v>0</v>
      </c>
      <c r="BB467">
        <v>0</v>
      </c>
      <c r="BC467">
        <v>0</v>
      </c>
      <c r="BD467">
        <v>0</v>
      </c>
      <c r="BE467" t="s">
        <v>108</v>
      </c>
      <c r="BF467" t="b">
        <v>0</v>
      </c>
    </row>
    <row r="468" spans="1:58" x14ac:dyDescent="0.3">
      <c r="A468" t="s">
        <v>1112</v>
      </c>
      <c r="B468" t="s">
        <v>67</v>
      </c>
      <c r="C468" t="s">
        <v>1113</v>
      </c>
      <c r="D468" t="s">
        <v>84</v>
      </c>
      <c r="E468" t="s">
        <v>85</v>
      </c>
      <c r="F468" t="s">
        <v>115</v>
      </c>
      <c r="G468" s="1">
        <v>44652</v>
      </c>
      <c r="H468" s="1">
        <v>45596</v>
      </c>
      <c r="I468" s="1">
        <v>46092</v>
      </c>
      <c r="J468">
        <v>1242500</v>
      </c>
      <c r="K468">
        <v>48</v>
      </c>
      <c r="L468">
        <v>18</v>
      </c>
      <c r="M468">
        <v>30</v>
      </c>
      <c r="N468">
        <v>9.33</v>
      </c>
      <c r="O468">
        <v>31114.73</v>
      </c>
      <c r="P468" t="s">
        <v>72</v>
      </c>
      <c r="Q468">
        <v>467181.73</v>
      </c>
      <c r="R468">
        <v>31114.73</v>
      </c>
      <c r="S468">
        <v>23802.99</v>
      </c>
      <c r="T468" s="1">
        <v>45561</v>
      </c>
      <c r="U468" t="s">
        <v>140</v>
      </c>
      <c r="V468">
        <v>342</v>
      </c>
      <c r="W468">
        <v>30</v>
      </c>
      <c r="X468">
        <v>24</v>
      </c>
      <c r="Y468">
        <v>2</v>
      </c>
      <c r="Z468">
        <v>0</v>
      </c>
      <c r="AA468">
        <v>0</v>
      </c>
      <c r="AB468" t="s">
        <v>125</v>
      </c>
      <c r="AC468" t="s">
        <v>353</v>
      </c>
      <c r="AD468">
        <v>2022</v>
      </c>
      <c r="AE468" t="s">
        <v>90</v>
      </c>
      <c r="AF468" t="b">
        <v>1</v>
      </c>
      <c r="AG468">
        <v>1728000</v>
      </c>
      <c r="AH468">
        <v>1067074.8600000001</v>
      </c>
      <c r="AI468">
        <v>0.71909999999999996</v>
      </c>
      <c r="AJ468">
        <v>0.4224</v>
      </c>
      <c r="AK468">
        <v>35</v>
      </c>
      <c r="AL468" t="s">
        <v>106</v>
      </c>
      <c r="AM468">
        <v>4702000</v>
      </c>
      <c r="AN468">
        <v>7.9399999999999998E-2</v>
      </c>
      <c r="AO468">
        <v>695</v>
      </c>
      <c r="AP468">
        <v>688</v>
      </c>
      <c r="AQ468" t="s">
        <v>127</v>
      </c>
      <c r="AR468" t="s">
        <v>153</v>
      </c>
      <c r="AS468">
        <v>3</v>
      </c>
      <c r="AT468">
        <v>0.88060000000000005</v>
      </c>
      <c r="AU468">
        <v>0.46739999999999998</v>
      </c>
      <c r="AV468">
        <v>475726.58</v>
      </c>
      <c r="AW468">
        <v>195805.46</v>
      </c>
      <c r="AX468" t="b">
        <v>0</v>
      </c>
      <c r="AY468" t="b">
        <v>0</v>
      </c>
      <c r="AZ468" t="s">
        <v>80</v>
      </c>
      <c r="BA468">
        <v>0</v>
      </c>
      <c r="BB468">
        <v>0</v>
      </c>
      <c r="BC468">
        <v>0</v>
      </c>
      <c r="BD468">
        <v>0</v>
      </c>
      <c r="BE468" t="s">
        <v>134</v>
      </c>
      <c r="BF468" t="b">
        <v>1</v>
      </c>
    </row>
    <row r="469" spans="1:58" x14ac:dyDescent="0.3">
      <c r="A469" t="s">
        <v>1114</v>
      </c>
      <c r="B469" t="s">
        <v>67</v>
      </c>
      <c r="C469" t="s">
        <v>1115</v>
      </c>
      <c r="D469" t="s">
        <v>69</v>
      </c>
      <c r="E469" t="s">
        <v>70</v>
      </c>
      <c r="F469" t="s">
        <v>86</v>
      </c>
      <c r="G469" s="1">
        <v>45446</v>
      </c>
      <c r="H469" s="1">
        <v>45596</v>
      </c>
      <c r="I469" s="1">
        <v>46886</v>
      </c>
      <c r="J469">
        <v>2053700</v>
      </c>
      <c r="K469">
        <v>48</v>
      </c>
      <c r="L469">
        <v>44</v>
      </c>
      <c r="M469">
        <v>4</v>
      </c>
      <c r="N469">
        <v>9.65</v>
      </c>
      <c r="O469">
        <v>51742.62</v>
      </c>
      <c r="P469" t="s">
        <v>72</v>
      </c>
      <c r="Q469">
        <v>1870278.49</v>
      </c>
      <c r="R469">
        <v>51742.62</v>
      </c>
      <c r="S469">
        <v>50202.23</v>
      </c>
      <c r="T469" s="1">
        <v>45583</v>
      </c>
      <c r="U469" t="s">
        <v>73</v>
      </c>
      <c r="V469">
        <v>0</v>
      </c>
      <c r="W469">
        <v>4</v>
      </c>
      <c r="X469">
        <v>4</v>
      </c>
      <c r="Y469">
        <v>0</v>
      </c>
      <c r="Z469">
        <v>0</v>
      </c>
      <c r="AA469">
        <v>0</v>
      </c>
      <c r="AB469" t="s">
        <v>111</v>
      </c>
      <c r="AC469" t="s">
        <v>197</v>
      </c>
      <c r="AD469">
        <v>2024</v>
      </c>
      <c r="AE469" t="s">
        <v>119</v>
      </c>
      <c r="AF469" t="b">
        <v>1</v>
      </c>
      <c r="AG469">
        <v>3027000</v>
      </c>
      <c r="AH469">
        <v>3013647.12</v>
      </c>
      <c r="AI469">
        <v>0.67849999999999999</v>
      </c>
      <c r="AJ469">
        <v>0.64900000000000002</v>
      </c>
      <c r="AK469">
        <v>54</v>
      </c>
      <c r="AL469" t="s">
        <v>132</v>
      </c>
      <c r="AM469">
        <v>694000</v>
      </c>
      <c r="AN469">
        <v>0.89470000000000005</v>
      </c>
      <c r="AO469">
        <v>773</v>
      </c>
      <c r="AP469">
        <v>799</v>
      </c>
      <c r="AQ469" t="s">
        <v>127</v>
      </c>
      <c r="AR469" t="s">
        <v>153</v>
      </c>
      <c r="AS469">
        <v>1</v>
      </c>
      <c r="AT469">
        <v>1.6500000000000001E-2</v>
      </c>
      <c r="AU469">
        <v>0.44230000000000003</v>
      </c>
      <c r="AV469">
        <v>1900693.52</v>
      </c>
      <c r="AW469">
        <v>13871.17</v>
      </c>
      <c r="AX469" t="b">
        <v>0</v>
      </c>
      <c r="AY469" t="b">
        <v>0</v>
      </c>
      <c r="AZ469" t="s">
        <v>80</v>
      </c>
      <c r="BA469">
        <v>0</v>
      </c>
      <c r="BB469">
        <v>0</v>
      </c>
      <c r="BC469">
        <v>0</v>
      </c>
      <c r="BD469">
        <v>0</v>
      </c>
      <c r="BE469" t="s">
        <v>134</v>
      </c>
      <c r="BF469" t="b">
        <v>1</v>
      </c>
    </row>
    <row r="470" spans="1:58" x14ac:dyDescent="0.3">
      <c r="A470" t="s">
        <v>1116</v>
      </c>
      <c r="B470" t="s">
        <v>67</v>
      </c>
      <c r="C470" t="s">
        <v>1117</v>
      </c>
      <c r="D470" t="s">
        <v>84</v>
      </c>
      <c r="E470" t="s">
        <v>85</v>
      </c>
      <c r="F470" t="s">
        <v>124</v>
      </c>
      <c r="G470" s="1">
        <v>44946</v>
      </c>
      <c r="H470" s="1">
        <v>45596</v>
      </c>
      <c r="I470" s="1">
        <v>46026</v>
      </c>
      <c r="J470">
        <v>2579000</v>
      </c>
      <c r="K470">
        <v>36</v>
      </c>
      <c r="L470">
        <v>15</v>
      </c>
      <c r="M470">
        <v>21</v>
      </c>
      <c r="N470">
        <v>9.17</v>
      </c>
      <c r="O470">
        <v>82215.710000000006</v>
      </c>
      <c r="P470" t="s">
        <v>72</v>
      </c>
      <c r="Q470">
        <v>1035831.18</v>
      </c>
      <c r="R470">
        <v>82215.710000000006</v>
      </c>
      <c r="S470">
        <v>79171.89</v>
      </c>
      <c r="T470" s="1">
        <v>45564</v>
      </c>
      <c r="U470" t="s">
        <v>73</v>
      </c>
      <c r="V470">
        <v>0</v>
      </c>
      <c r="W470">
        <v>21</v>
      </c>
      <c r="X470">
        <v>21</v>
      </c>
      <c r="Y470">
        <v>0</v>
      </c>
      <c r="Z470">
        <v>0</v>
      </c>
      <c r="AA470">
        <v>0</v>
      </c>
      <c r="AB470" t="s">
        <v>104</v>
      </c>
      <c r="AC470" t="s">
        <v>105</v>
      </c>
      <c r="AD470">
        <v>2023</v>
      </c>
      <c r="AE470" t="s">
        <v>166</v>
      </c>
      <c r="AF470" t="b">
        <v>1</v>
      </c>
      <c r="AG470">
        <v>2765000</v>
      </c>
      <c r="AH470">
        <v>2079298.66</v>
      </c>
      <c r="AI470">
        <v>0.93269999999999997</v>
      </c>
      <c r="AJ470">
        <v>0.50080000000000002</v>
      </c>
      <c r="AK470">
        <v>43</v>
      </c>
      <c r="AL470" t="s">
        <v>132</v>
      </c>
      <c r="AM470">
        <v>2014000</v>
      </c>
      <c r="AN470">
        <v>0.4899</v>
      </c>
      <c r="AO470">
        <v>688</v>
      </c>
      <c r="AP470">
        <v>651</v>
      </c>
      <c r="AQ470" t="s">
        <v>91</v>
      </c>
      <c r="AR470" t="s">
        <v>92</v>
      </c>
      <c r="AS470">
        <v>1</v>
      </c>
      <c r="AT470">
        <v>2.07E-2</v>
      </c>
      <c r="AU470">
        <v>0.53149999999999997</v>
      </c>
      <c r="AV470">
        <v>1079072.58</v>
      </c>
      <c r="AW470">
        <v>11872.01</v>
      </c>
      <c r="AX470" t="b">
        <v>0</v>
      </c>
      <c r="AY470" t="b">
        <v>0</v>
      </c>
      <c r="AZ470" t="s">
        <v>80</v>
      </c>
      <c r="BA470">
        <v>0</v>
      </c>
      <c r="BB470">
        <v>0</v>
      </c>
      <c r="BC470">
        <v>0</v>
      </c>
      <c r="BD470">
        <v>0</v>
      </c>
      <c r="BE470" t="s">
        <v>134</v>
      </c>
      <c r="BF470" t="b">
        <v>1</v>
      </c>
    </row>
    <row r="471" spans="1:58" x14ac:dyDescent="0.3">
      <c r="A471" t="s">
        <v>1118</v>
      </c>
      <c r="B471" t="s">
        <v>67</v>
      </c>
      <c r="C471" t="s">
        <v>1119</v>
      </c>
      <c r="D471" t="s">
        <v>84</v>
      </c>
      <c r="E471" t="s">
        <v>85</v>
      </c>
      <c r="F471" t="s">
        <v>86</v>
      </c>
      <c r="G471" s="1">
        <v>44910</v>
      </c>
      <c r="H471" s="1">
        <v>45596</v>
      </c>
      <c r="I471" s="1">
        <v>47070</v>
      </c>
      <c r="J471">
        <v>2119500</v>
      </c>
      <c r="K471">
        <v>72</v>
      </c>
      <c r="L471">
        <v>50</v>
      </c>
      <c r="M471">
        <v>22</v>
      </c>
      <c r="N471">
        <v>10.41</v>
      </c>
      <c r="O471">
        <v>39705.14</v>
      </c>
      <c r="P471" t="s">
        <v>72</v>
      </c>
      <c r="Q471">
        <v>1535654.15</v>
      </c>
      <c r="R471">
        <v>39705.14</v>
      </c>
      <c r="S471">
        <v>38979.839999999997</v>
      </c>
      <c r="T471" s="1">
        <v>45578</v>
      </c>
      <c r="U471" t="s">
        <v>73</v>
      </c>
      <c r="V471">
        <v>0</v>
      </c>
      <c r="W471">
        <v>22</v>
      </c>
      <c r="X471">
        <v>22</v>
      </c>
      <c r="Y471">
        <v>0</v>
      </c>
      <c r="Z471">
        <v>0</v>
      </c>
      <c r="AA471">
        <v>0</v>
      </c>
      <c r="AB471" t="s">
        <v>174</v>
      </c>
      <c r="AC471" t="s">
        <v>305</v>
      </c>
      <c r="AD471">
        <v>2022</v>
      </c>
      <c r="AE471" t="s">
        <v>119</v>
      </c>
      <c r="AF471" t="b">
        <v>1</v>
      </c>
      <c r="AG471">
        <v>2305000</v>
      </c>
      <c r="AH471">
        <v>1587150.38</v>
      </c>
      <c r="AI471">
        <v>0.91949999999999998</v>
      </c>
      <c r="AJ471">
        <v>0.9052</v>
      </c>
      <c r="AK471">
        <v>60</v>
      </c>
      <c r="AL471" t="s">
        <v>120</v>
      </c>
      <c r="AM471">
        <v>4024000</v>
      </c>
      <c r="AN471">
        <v>0.11840000000000001</v>
      </c>
      <c r="AO471">
        <v>765</v>
      </c>
      <c r="AP471">
        <v>783</v>
      </c>
      <c r="AQ471" t="s">
        <v>127</v>
      </c>
      <c r="AR471" t="s">
        <v>185</v>
      </c>
      <c r="AS471">
        <v>1</v>
      </c>
      <c r="AT471">
        <v>2.0500000000000001E-2</v>
      </c>
      <c r="AU471">
        <v>0.45190000000000002</v>
      </c>
      <c r="AV471">
        <v>1580827.05</v>
      </c>
      <c r="AW471">
        <v>14644.7</v>
      </c>
      <c r="AX471" t="b">
        <v>0</v>
      </c>
      <c r="AY471" t="b">
        <v>0</v>
      </c>
      <c r="AZ471" t="s">
        <v>80</v>
      </c>
      <c r="BA471">
        <v>0</v>
      </c>
      <c r="BB471">
        <v>0</v>
      </c>
      <c r="BC471">
        <v>0</v>
      </c>
      <c r="BD471">
        <v>0</v>
      </c>
      <c r="BE471" t="s">
        <v>108</v>
      </c>
      <c r="BF471" t="b">
        <v>0</v>
      </c>
    </row>
    <row r="472" spans="1:58" x14ac:dyDescent="0.3">
      <c r="A472" t="s">
        <v>1120</v>
      </c>
      <c r="B472" t="s">
        <v>67</v>
      </c>
      <c r="C472" t="s">
        <v>1121</v>
      </c>
      <c r="D472" t="s">
        <v>95</v>
      </c>
      <c r="E472" t="s">
        <v>96</v>
      </c>
      <c r="F472" t="s">
        <v>115</v>
      </c>
      <c r="G472" s="1">
        <v>44460</v>
      </c>
      <c r="H472" s="1">
        <v>45596</v>
      </c>
      <c r="I472" s="1">
        <v>46260</v>
      </c>
      <c r="J472">
        <v>780600</v>
      </c>
      <c r="K472">
        <v>60</v>
      </c>
      <c r="L472">
        <v>23</v>
      </c>
      <c r="M472">
        <v>37</v>
      </c>
      <c r="N472">
        <v>7.68</v>
      </c>
      <c r="O472">
        <v>15708.48</v>
      </c>
      <c r="P472" t="s">
        <v>72</v>
      </c>
      <c r="Q472">
        <v>311165.14</v>
      </c>
      <c r="R472">
        <v>15708.48</v>
      </c>
      <c r="S472">
        <v>15795.73</v>
      </c>
      <c r="T472" s="1">
        <v>45585</v>
      </c>
      <c r="U472" t="s">
        <v>73</v>
      </c>
      <c r="V472">
        <v>0</v>
      </c>
      <c r="W472">
        <v>37</v>
      </c>
      <c r="X472">
        <v>37</v>
      </c>
      <c r="Y472">
        <v>0</v>
      </c>
      <c r="Z472">
        <v>0</v>
      </c>
      <c r="AA472">
        <v>0</v>
      </c>
      <c r="AB472" t="s">
        <v>88</v>
      </c>
      <c r="AC472" t="s">
        <v>181</v>
      </c>
      <c r="AD472">
        <v>2021</v>
      </c>
      <c r="AE472" t="s">
        <v>99</v>
      </c>
      <c r="AF472" t="b">
        <v>1</v>
      </c>
      <c r="AG472">
        <v>1041000</v>
      </c>
      <c r="AH472">
        <v>599863.59</v>
      </c>
      <c r="AI472">
        <v>0.74980000000000002</v>
      </c>
      <c r="AJ472">
        <v>0.53759999999999997</v>
      </c>
      <c r="AK472">
        <v>27</v>
      </c>
      <c r="AL472" t="s">
        <v>132</v>
      </c>
      <c r="AM472">
        <v>1198000</v>
      </c>
      <c r="AN472">
        <v>0.1573</v>
      </c>
      <c r="AO472">
        <v>813</v>
      </c>
      <c r="AP472">
        <v>792</v>
      </c>
      <c r="AQ472" t="s">
        <v>78</v>
      </c>
      <c r="AR472" t="s">
        <v>79</v>
      </c>
      <c r="AS472">
        <v>1</v>
      </c>
      <c r="AT472">
        <v>1.6500000000000001E-2</v>
      </c>
      <c r="AU472">
        <v>0.44719999999999999</v>
      </c>
      <c r="AV472">
        <v>318641.34000000003</v>
      </c>
      <c r="AW472">
        <v>2351.19</v>
      </c>
      <c r="AX472" t="b">
        <v>0</v>
      </c>
      <c r="AY472" t="b">
        <v>0</v>
      </c>
      <c r="AZ472" t="s">
        <v>80</v>
      </c>
      <c r="BA472">
        <v>0</v>
      </c>
      <c r="BB472">
        <v>0</v>
      </c>
      <c r="BC472">
        <v>0</v>
      </c>
      <c r="BD472">
        <v>0</v>
      </c>
      <c r="BE472" t="s">
        <v>134</v>
      </c>
      <c r="BF472" t="b">
        <v>1</v>
      </c>
    </row>
    <row r="473" spans="1:58" x14ac:dyDescent="0.3">
      <c r="A473" t="s">
        <v>1122</v>
      </c>
      <c r="B473" t="s">
        <v>67</v>
      </c>
      <c r="C473" t="s">
        <v>1123</v>
      </c>
      <c r="D473" t="s">
        <v>95</v>
      </c>
      <c r="E473" t="s">
        <v>96</v>
      </c>
      <c r="F473" t="s">
        <v>86</v>
      </c>
      <c r="G473" s="1">
        <v>44778</v>
      </c>
      <c r="H473" s="1">
        <v>45596</v>
      </c>
      <c r="I473" s="1">
        <v>47298</v>
      </c>
      <c r="J473">
        <v>1013600</v>
      </c>
      <c r="K473">
        <v>84</v>
      </c>
      <c r="L473">
        <v>58</v>
      </c>
      <c r="M473">
        <v>26</v>
      </c>
      <c r="N473">
        <v>14.47</v>
      </c>
      <c r="O473">
        <v>19259.009999999998</v>
      </c>
      <c r="P473" t="s">
        <v>72</v>
      </c>
      <c r="Q473">
        <v>681386.28</v>
      </c>
      <c r="R473">
        <v>19259.009999999998</v>
      </c>
      <c r="S473">
        <v>19851.669999999998</v>
      </c>
      <c r="T473" s="1">
        <v>45590</v>
      </c>
      <c r="U473" t="s">
        <v>73</v>
      </c>
      <c r="V473">
        <v>0</v>
      </c>
      <c r="W473">
        <v>26</v>
      </c>
      <c r="X473">
        <v>26</v>
      </c>
      <c r="Y473">
        <v>0</v>
      </c>
      <c r="Z473">
        <v>0</v>
      </c>
      <c r="AA473">
        <v>0</v>
      </c>
      <c r="AB473" t="s">
        <v>88</v>
      </c>
      <c r="AC473" t="s">
        <v>171</v>
      </c>
      <c r="AD473">
        <v>2022</v>
      </c>
      <c r="AE473" t="s">
        <v>90</v>
      </c>
      <c r="AF473" t="b">
        <v>1</v>
      </c>
      <c r="AG473">
        <v>1379000</v>
      </c>
      <c r="AH473">
        <v>993731.61</v>
      </c>
      <c r="AI473">
        <v>0.73499999999999999</v>
      </c>
      <c r="AJ473">
        <v>0.71819999999999995</v>
      </c>
      <c r="AK473">
        <v>38</v>
      </c>
      <c r="AL473" t="s">
        <v>120</v>
      </c>
      <c r="AM473">
        <v>2410000</v>
      </c>
      <c r="AN473">
        <v>9.5899999999999999E-2</v>
      </c>
      <c r="AO473">
        <v>813</v>
      </c>
      <c r="AP473">
        <v>819</v>
      </c>
      <c r="AQ473" t="s">
        <v>91</v>
      </c>
      <c r="AR473" t="s">
        <v>252</v>
      </c>
      <c r="AS473">
        <v>1</v>
      </c>
      <c r="AT473">
        <v>1.6500000000000001E-2</v>
      </c>
      <c r="AU473">
        <v>0.63759999999999994</v>
      </c>
      <c r="AV473">
        <v>699300.87</v>
      </c>
      <c r="AW473">
        <v>7356.92</v>
      </c>
      <c r="AX473" t="b">
        <v>0</v>
      </c>
      <c r="AY473" t="b">
        <v>0</v>
      </c>
      <c r="AZ473" t="s">
        <v>80</v>
      </c>
      <c r="BA473">
        <v>0</v>
      </c>
      <c r="BB473">
        <v>0</v>
      </c>
      <c r="BC473">
        <v>0</v>
      </c>
      <c r="BD473">
        <v>0</v>
      </c>
      <c r="BE473" t="s">
        <v>108</v>
      </c>
      <c r="BF473" t="b">
        <v>1</v>
      </c>
    </row>
    <row r="474" spans="1:58" x14ac:dyDescent="0.3">
      <c r="A474" t="s">
        <v>1124</v>
      </c>
      <c r="B474" t="s">
        <v>67</v>
      </c>
      <c r="C474" t="s">
        <v>1125</v>
      </c>
      <c r="D474" t="s">
        <v>84</v>
      </c>
      <c r="E474" t="s">
        <v>85</v>
      </c>
      <c r="F474" t="s">
        <v>124</v>
      </c>
      <c r="G474" s="1">
        <v>44586</v>
      </c>
      <c r="H474" s="1">
        <v>45596</v>
      </c>
      <c r="I474" s="1">
        <v>46386</v>
      </c>
      <c r="J474">
        <v>1511200</v>
      </c>
      <c r="K474">
        <v>60</v>
      </c>
      <c r="L474">
        <v>27</v>
      </c>
      <c r="M474">
        <v>33</v>
      </c>
      <c r="N474">
        <v>11.87</v>
      </c>
      <c r="O474">
        <v>33516.620000000003</v>
      </c>
      <c r="P474" t="s">
        <v>72</v>
      </c>
      <c r="Q474">
        <v>618052.77</v>
      </c>
      <c r="R474">
        <v>33516.620000000003</v>
      </c>
      <c r="S474">
        <v>33724.559999999998</v>
      </c>
      <c r="T474" s="1">
        <v>45579</v>
      </c>
      <c r="U474" t="s">
        <v>73</v>
      </c>
      <c r="V474">
        <v>0</v>
      </c>
      <c r="W474">
        <v>33</v>
      </c>
      <c r="X474">
        <v>33</v>
      </c>
      <c r="Y474">
        <v>0</v>
      </c>
      <c r="Z474">
        <v>0</v>
      </c>
      <c r="AA474">
        <v>0</v>
      </c>
      <c r="AB474" t="s">
        <v>74</v>
      </c>
      <c r="AC474" t="s">
        <v>420</v>
      </c>
      <c r="AD474">
        <v>2022</v>
      </c>
      <c r="AE474" t="s">
        <v>76</v>
      </c>
      <c r="AF474" t="b">
        <v>1</v>
      </c>
      <c r="AG474">
        <v>1830000</v>
      </c>
      <c r="AH474">
        <v>1101746.1399999999</v>
      </c>
      <c r="AI474">
        <v>0.82579999999999998</v>
      </c>
      <c r="AJ474">
        <v>0.55920000000000003</v>
      </c>
      <c r="AK474">
        <v>24</v>
      </c>
      <c r="AL474" t="s">
        <v>132</v>
      </c>
      <c r="AM474">
        <v>1480000</v>
      </c>
      <c r="AN474">
        <v>0.27179999999999999</v>
      </c>
      <c r="AO474">
        <v>775</v>
      </c>
      <c r="AP474">
        <v>745</v>
      </c>
      <c r="AQ474" t="s">
        <v>100</v>
      </c>
      <c r="AR474" t="s">
        <v>149</v>
      </c>
      <c r="AS474">
        <v>1</v>
      </c>
      <c r="AT474">
        <v>1.61E-2</v>
      </c>
      <c r="AU474">
        <v>0.4042</v>
      </c>
      <c r="AV474">
        <v>628871.4</v>
      </c>
      <c r="AW474">
        <v>4092.46</v>
      </c>
      <c r="AX474" t="b">
        <v>0</v>
      </c>
      <c r="AY474" t="b">
        <v>0</v>
      </c>
      <c r="AZ474" t="s">
        <v>80</v>
      </c>
      <c r="BA474">
        <v>0</v>
      </c>
      <c r="BB474">
        <v>0</v>
      </c>
      <c r="BC474">
        <v>0</v>
      </c>
      <c r="BD474">
        <v>0</v>
      </c>
      <c r="BE474" t="s">
        <v>134</v>
      </c>
      <c r="BF474" t="b">
        <v>1</v>
      </c>
    </row>
    <row r="475" spans="1:58" x14ac:dyDescent="0.3">
      <c r="A475" t="s">
        <v>1126</v>
      </c>
      <c r="B475" t="s">
        <v>67</v>
      </c>
      <c r="C475" t="s">
        <v>1127</v>
      </c>
      <c r="D475" t="s">
        <v>69</v>
      </c>
      <c r="E475" t="s">
        <v>70</v>
      </c>
      <c r="F475" t="s">
        <v>115</v>
      </c>
      <c r="G475" s="1">
        <v>44973</v>
      </c>
      <c r="H475" s="1">
        <v>45596</v>
      </c>
      <c r="I475" s="1">
        <v>47133</v>
      </c>
      <c r="J475">
        <v>748400</v>
      </c>
      <c r="K475">
        <v>72</v>
      </c>
      <c r="L475">
        <v>52</v>
      </c>
      <c r="M475">
        <v>20</v>
      </c>
      <c r="N475">
        <v>10.18</v>
      </c>
      <c r="O475">
        <v>13932.77</v>
      </c>
      <c r="P475" t="s">
        <v>72</v>
      </c>
      <c r="Q475">
        <v>539782.32999999996</v>
      </c>
      <c r="R475">
        <v>13932.77</v>
      </c>
      <c r="S475">
        <v>13810.08</v>
      </c>
      <c r="T475" s="1">
        <v>45586</v>
      </c>
      <c r="U475" t="s">
        <v>73</v>
      </c>
      <c r="V475">
        <v>0</v>
      </c>
      <c r="W475">
        <v>20</v>
      </c>
      <c r="X475">
        <v>20</v>
      </c>
      <c r="Y475">
        <v>0</v>
      </c>
      <c r="Z475">
        <v>0</v>
      </c>
      <c r="AA475">
        <v>0</v>
      </c>
      <c r="AB475" t="s">
        <v>208</v>
      </c>
      <c r="AC475" t="s">
        <v>364</v>
      </c>
      <c r="AD475">
        <v>2023</v>
      </c>
      <c r="AE475" t="s">
        <v>119</v>
      </c>
      <c r="AF475" t="b">
        <v>1</v>
      </c>
      <c r="AG475">
        <v>1185000</v>
      </c>
      <c r="AH475">
        <v>982616.2</v>
      </c>
      <c r="AI475">
        <v>0.63160000000000005</v>
      </c>
      <c r="AJ475">
        <v>0.59940000000000004</v>
      </c>
      <c r="AK475">
        <v>29</v>
      </c>
      <c r="AL475" t="s">
        <v>120</v>
      </c>
      <c r="AM475">
        <v>550000</v>
      </c>
      <c r="AN475">
        <v>0.30399999999999999</v>
      </c>
      <c r="AO475">
        <v>696</v>
      </c>
      <c r="AP475">
        <v>702</v>
      </c>
      <c r="AQ475" t="s">
        <v>145</v>
      </c>
      <c r="AR475" t="s">
        <v>182</v>
      </c>
      <c r="AS475">
        <v>1</v>
      </c>
      <c r="AT475">
        <v>1.7899999999999999E-2</v>
      </c>
      <c r="AU475">
        <v>0.40179999999999999</v>
      </c>
      <c r="AV475">
        <v>555345.55000000005</v>
      </c>
      <c r="AW475">
        <v>3994.17</v>
      </c>
      <c r="AX475" t="b">
        <v>0</v>
      </c>
      <c r="AY475" t="b">
        <v>0</v>
      </c>
      <c r="AZ475" t="s">
        <v>80</v>
      </c>
      <c r="BA475">
        <v>0</v>
      </c>
      <c r="BB475">
        <v>0</v>
      </c>
      <c r="BC475">
        <v>0</v>
      </c>
      <c r="BD475">
        <v>0</v>
      </c>
      <c r="BE475" t="s">
        <v>108</v>
      </c>
      <c r="BF475" t="b">
        <v>1</v>
      </c>
    </row>
    <row r="476" spans="1:58" x14ac:dyDescent="0.3">
      <c r="A476" t="s">
        <v>1128</v>
      </c>
      <c r="B476" t="s">
        <v>67</v>
      </c>
      <c r="C476" t="s">
        <v>1129</v>
      </c>
      <c r="D476" t="s">
        <v>95</v>
      </c>
      <c r="E476" t="s">
        <v>96</v>
      </c>
      <c r="F476" t="s">
        <v>86</v>
      </c>
      <c r="G476" s="1">
        <v>45071</v>
      </c>
      <c r="H476" s="1">
        <v>45596</v>
      </c>
      <c r="I476" s="1">
        <v>46511</v>
      </c>
      <c r="J476">
        <v>893600</v>
      </c>
      <c r="K476">
        <v>48</v>
      </c>
      <c r="L476">
        <v>31</v>
      </c>
      <c r="M476">
        <v>17</v>
      </c>
      <c r="N476">
        <v>9.7799999999999994</v>
      </c>
      <c r="O476">
        <v>22569.71</v>
      </c>
      <c r="P476" t="s">
        <v>72</v>
      </c>
      <c r="Q476">
        <v>550888.93000000005</v>
      </c>
      <c r="R476">
        <v>22569.71</v>
      </c>
      <c r="S476">
        <v>22820.71</v>
      </c>
      <c r="T476" s="1">
        <v>45589</v>
      </c>
      <c r="U476" t="s">
        <v>73</v>
      </c>
      <c r="V476">
        <v>0</v>
      </c>
      <c r="W476">
        <v>17</v>
      </c>
      <c r="X476">
        <v>17</v>
      </c>
      <c r="Y476">
        <v>0</v>
      </c>
      <c r="Z476">
        <v>0</v>
      </c>
      <c r="AA476">
        <v>0</v>
      </c>
      <c r="AB476" t="s">
        <v>111</v>
      </c>
      <c r="AC476" t="s">
        <v>251</v>
      </c>
      <c r="AD476">
        <v>2023</v>
      </c>
      <c r="AE476" t="s">
        <v>76</v>
      </c>
      <c r="AF476" t="b">
        <v>1</v>
      </c>
      <c r="AG476">
        <v>1374000</v>
      </c>
      <c r="AH476">
        <v>1023807.67</v>
      </c>
      <c r="AI476">
        <v>0.65039999999999998</v>
      </c>
      <c r="AJ476">
        <v>0.50370000000000004</v>
      </c>
      <c r="AK476">
        <v>59</v>
      </c>
      <c r="AL476" t="s">
        <v>77</v>
      </c>
      <c r="AM476">
        <v>1805000</v>
      </c>
      <c r="AN476">
        <v>0.15</v>
      </c>
      <c r="AO476">
        <v>728</v>
      </c>
      <c r="AP476">
        <v>712</v>
      </c>
      <c r="AQ476" t="s">
        <v>127</v>
      </c>
      <c r="AR476" t="s">
        <v>128</v>
      </c>
      <c r="AS476">
        <v>1</v>
      </c>
      <c r="AT476">
        <v>1.7000000000000001E-2</v>
      </c>
      <c r="AU476">
        <v>0.35589999999999999</v>
      </c>
      <c r="AV476">
        <v>560050.88</v>
      </c>
      <c r="AW476">
        <v>3388.48</v>
      </c>
      <c r="AX476" t="b">
        <v>0</v>
      </c>
      <c r="AY476" t="b">
        <v>0</v>
      </c>
      <c r="AZ476" t="s">
        <v>80</v>
      </c>
      <c r="BA476">
        <v>0</v>
      </c>
      <c r="BB476">
        <v>0</v>
      </c>
      <c r="BC476">
        <v>0</v>
      </c>
      <c r="BD476">
        <v>0</v>
      </c>
      <c r="BE476" t="s">
        <v>134</v>
      </c>
      <c r="BF476" t="b">
        <v>1</v>
      </c>
    </row>
    <row r="477" spans="1:58" x14ac:dyDescent="0.3">
      <c r="A477" t="s">
        <v>1130</v>
      </c>
      <c r="B477" t="s">
        <v>67</v>
      </c>
      <c r="C477" t="s">
        <v>1131</v>
      </c>
      <c r="D477" t="s">
        <v>84</v>
      </c>
      <c r="E477" t="s">
        <v>85</v>
      </c>
      <c r="F477" t="s">
        <v>115</v>
      </c>
      <c r="G477" s="1">
        <v>45112</v>
      </c>
      <c r="H477" s="1">
        <v>45596</v>
      </c>
      <c r="I477" s="1">
        <v>47632</v>
      </c>
      <c r="J477">
        <v>477500</v>
      </c>
      <c r="K477">
        <v>84</v>
      </c>
      <c r="L477">
        <v>69</v>
      </c>
      <c r="M477">
        <v>15</v>
      </c>
      <c r="N477">
        <v>13.87</v>
      </c>
      <c r="O477">
        <v>8914.1</v>
      </c>
      <c r="P477" t="s">
        <v>139</v>
      </c>
      <c r="Q477">
        <v>395297.32</v>
      </c>
      <c r="R477">
        <v>8914.1</v>
      </c>
      <c r="S477">
        <v>9191.18</v>
      </c>
      <c r="T477" s="1">
        <v>45567</v>
      </c>
      <c r="U477" t="s">
        <v>73</v>
      </c>
      <c r="V477">
        <v>0</v>
      </c>
      <c r="W477">
        <v>15</v>
      </c>
      <c r="X477">
        <v>15</v>
      </c>
      <c r="Y477">
        <v>0</v>
      </c>
      <c r="Z477">
        <v>0</v>
      </c>
      <c r="AA477">
        <v>0</v>
      </c>
      <c r="AB477" t="s">
        <v>104</v>
      </c>
      <c r="AC477" t="s">
        <v>156</v>
      </c>
      <c r="AD477">
        <v>2018</v>
      </c>
      <c r="AE477" t="s">
        <v>76</v>
      </c>
      <c r="AF477" t="b">
        <v>0</v>
      </c>
      <c r="AG477">
        <v>667000</v>
      </c>
      <c r="AH477">
        <v>548977.24</v>
      </c>
      <c r="AI477">
        <v>0.71589999999999998</v>
      </c>
      <c r="AJ477">
        <v>0.72270000000000001</v>
      </c>
      <c r="AK477">
        <v>54</v>
      </c>
      <c r="AL477" t="s">
        <v>106</v>
      </c>
      <c r="AM477">
        <v>4785000</v>
      </c>
      <c r="AN477">
        <v>2.24E-2</v>
      </c>
      <c r="AO477">
        <v>782</v>
      </c>
      <c r="AP477">
        <v>763</v>
      </c>
      <c r="AQ477" t="s">
        <v>100</v>
      </c>
      <c r="AR477" t="s">
        <v>229</v>
      </c>
      <c r="AS477">
        <v>1</v>
      </c>
      <c r="AT477">
        <v>2.06E-2</v>
      </c>
      <c r="AU477">
        <v>0.40200000000000002</v>
      </c>
      <c r="AV477">
        <v>412757.04</v>
      </c>
      <c r="AW477">
        <v>3418.12</v>
      </c>
      <c r="AX477" t="b">
        <v>0</v>
      </c>
      <c r="AY477" t="b">
        <v>0</v>
      </c>
      <c r="AZ477" t="s">
        <v>80</v>
      </c>
      <c r="BA477">
        <v>0</v>
      </c>
      <c r="BB477">
        <v>0</v>
      </c>
      <c r="BC477">
        <v>0</v>
      </c>
      <c r="BD477">
        <v>0</v>
      </c>
      <c r="BE477" t="s">
        <v>108</v>
      </c>
      <c r="BF477" t="b">
        <v>1</v>
      </c>
    </row>
    <row r="478" spans="1:58" x14ac:dyDescent="0.3">
      <c r="A478" t="s">
        <v>1132</v>
      </c>
      <c r="B478" t="s">
        <v>67</v>
      </c>
      <c r="C478" t="s">
        <v>1133</v>
      </c>
      <c r="D478" t="s">
        <v>84</v>
      </c>
      <c r="E478" t="s">
        <v>85</v>
      </c>
      <c r="F478" t="s">
        <v>86</v>
      </c>
      <c r="G478" s="1">
        <v>45233</v>
      </c>
      <c r="H478" s="1">
        <v>45596</v>
      </c>
      <c r="I478" s="1">
        <v>47033</v>
      </c>
      <c r="J478">
        <v>1339600</v>
      </c>
      <c r="K478">
        <v>60</v>
      </c>
      <c r="L478">
        <v>49</v>
      </c>
      <c r="M478">
        <v>11</v>
      </c>
      <c r="N478">
        <v>12.17</v>
      </c>
      <c r="O478">
        <v>29913.87</v>
      </c>
      <c r="P478" t="s">
        <v>72</v>
      </c>
      <c r="Q478">
        <v>1043249.83</v>
      </c>
      <c r="R478">
        <v>29913.87</v>
      </c>
      <c r="S478">
        <v>30124.81</v>
      </c>
      <c r="T478" s="1">
        <v>45591</v>
      </c>
      <c r="U478" t="s">
        <v>73</v>
      </c>
      <c r="V478">
        <v>0</v>
      </c>
      <c r="W478">
        <v>11</v>
      </c>
      <c r="X478">
        <v>11</v>
      </c>
      <c r="Y478">
        <v>0</v>
      </c>
      <c r="Z478">
        <v>0</v>
      </c>
      <c r="AA478">
        <v>0</v>
      </c>
      <c r="AB478" t="s">
        <v>104</v>
      </c>
      <c r="AC478" t="s">
        <v>156</v>
      </c>
      <c r="AD478">
        <v>2023</v>
      </c>
      <c r="AE478" t="s">
        <v>76</v>
      </c>
      <c r="AF478" t="b">
        <v>1</v>
      </c>
      <c r="AG478">
        <v>1571000</v>
      </c>
      <c r="AH478">
        <v>1233494.4099999999</v>
      </c>
      <c r="AI478">
        <v>0.85270000000000001</v>
      </c>
      <c r="AJ478">
        <v>0.7651</v>
      </c>
      <c r="AK478">
        <v>56</v>
      </c>
      <c r="AL478" t="s">
        <v>120</v>
      </c>
      <c r="AM478">
        <v>4644000</v>
      </c>
      <c r="AN478">
        <v>7.7299999999999994E-2</v>
      </c>
      <c r="AO478">
        <v>842</v>
      </c>
      <c r="AP478">
        <v>797</v>
      </c>
      <c r="AQ478" t="s">
        <v>100</v>
      </c>
      <c r="AR478" t="s">
        <v>121</v>
      </c>
      <c r="AS478">
        <v>1</v>
      </c>
      <c r="AT478">
        <v>1.5299999999999999E-2</v>
      </c>
      <c r="AU478">
        <v>0.36990000000000001</v>
      </c>
      <c r="AV478">
        <v>1086815.1100000001</v>
      </c>
      <c r="AW478">
        <v>6150.8</v>
      </c>
      <c r="AX478" t="b">
        <v>0</v>
      </c>
      <c r="AY478" t="b">
        <v>0</v>
      </c>
      <c r="AZ478" t="s">
        <v>80</v>
      </c>
      <c r="BA478">
        <v>0</v>
      </c>
      <c r="BB478">
        <v>0</v>
      </c>
      <c r="BC478">
        <v>0</v>
      </c>
      <c r="BD478">
        <v>0</v>
      </c>
      <c r="BE478" t="s">
        <v>108</v>
      </c>
      <c r="BF478" t="b">
        <v>1</v>
      </c>
    </row>
    <row r="479" spans="1:58" x14ac:dyDescent="0.3">
      <c r="A479" t="s">
        <v>1134</v>
      </c>
      <c r="B479" t="s">
        <v>67</v>
      </c>
      <c r="C479" t="s">
        <v>1135</v>
      </c>
      <c r="D479" t="s">
        <v>84</v>
      </c>
      <c r="E479" t="s">
        <v>85</v>
      </c>
      <c r="F479" t="s">
        <v>71</v>
      </c>
      <c r="G479" s="1">
        <v>44502</v>
      </c>
      <c r="H479" s="1">
        <v>45596</v>
      </c>
      <c r="I479" s="1">
        <v>45582</v>
      </c>
      <c r="J479">
        <v>1268600</v>
      </c>
      <c r="K479">
        <v>36</v>
      </c>
      <c r="L479">
        <v>1</v>
      </c>
      <c r="M479">
        <v>35</v>
      </c>
      <c r="N479">
        <v>9.6199999999999992</v>
      </c>
      <c r="O479">
        <v>40708.199999999997</v>
      </c>
      <c r="P479" t="s">
        <v>72</v>
      </c>
      <c r="Q479">
        <v>34241.46</v>
      </c>
      <c r="R479">
        <v>40708.199999999997</v>
      </c>
      <c r="S479">
        <v>13355.92</v>
      </c>
      <c r="T479" s="1">
        <v>45588</v>
      </c>
      <c r="U479" t="s">
        <v>380</v>
      </c>
      <c r="V479">
        <v>185</v>
      </c>
      <c r="W479">
        <v>35</v>
      </c>
      <c r="X479">
        <v>33</v>
      </c>
      <c r="Y479">
        <v>1</v>
      </c>
      <c r="Z479">
        <v>1</v>
      </c>
      <c r="AA479">
        <v>0</v>
      </c>
      <c r="AB479" t="s">
        <v>104</v>
      </c>
      <c r="AC479" t="s">
        <v>105</v>
      </c>
      <c r="AD479">
        <v>2021</v>
      </c>
      <c r="AE479" t="s">
        <v>90</v>
      </c>
      <c r="AF479" t="b">
        <v>1</v>
      </c>
      <c r="AG479">
        <v>1524000</v>
      </c>
      <c r="AH479">
        <v>804986.56</v>
      </c>
      <c r="AI479">
        <v>0.83240000000000003</v>
      </c>
      <c r="AJ479">
        <v>3.8699999999999998E-2</v>
      </c>
      <c r="AK479">
        <v>56</v>
      </c>
      <c r="AL479" t="s">
        <v>77</v>
      </c>
      <c r="AM479">
        <v>566000</v>
      </c>
      <c r="AN479">
        <v>0.86309999999999998</v>
      </c>
      <c r="AO479">
        <v>700</v>
      </c>
      <c r="AP479">
        <v>650</v>
      </c>
      <c r="AQ479" t="s">
        <v>78</v>
      </c>
      <c r="AR479" t="s">
        <v>133</v>
      </c>
      <c r="AS479">
        <v>3</v>
      </c>
      <c r="AT479">
        <v>0.65390000000000004</v>
      </c>
      <c r="AU479">
        <v>0.3972</v>
      </c>
      <c r="AV479">
        <v>35725.370000000003</v>
      </c>
      <c r="AW479">
        <v>9278.92</v>
      </c>
      <c r="AX479" t="b">
        <v>1</v>
      </c>
      <c r="AY479" t="b">
        <v>0</v>
      </c>
      <c r="AZ479" t="s">
        <v>80</v>
      </c>
      <c r="BA479">
        <v>0</v>
      </c>
      <c r="BB479">
        <v>0</v>
      </c>
      <c r="BC479">
        <v>0</v>
      </c>
      <c r="BD479">
        <v>0</v>
      </c>
      <c r="BE479" t="s">
        <v>108</v>
      </c>
      <c r="BF479" t="b">
        <v>0</v>
      </c>
    </row>
    <row r="480" spans="1:58" x14ac:dyDescent="0.3">
      <c r="A480" t="s">
        <v>1136</v>
      </c>
      <c r="B480" t="s">
        <v>67</v>
      </c>
      <c r="C480" t="s">
        <v>1137</v>
      </c>
      <c r="D480" t="s">
        <v>95</v>
      </c>
      <c r="E480" t="s">
        <v>96</v>
      </c>
      <c r="F480" t="s">
        <v>86</v>
      </c>
      <c r="G480" s="1">
        <v>45437</v>
      </c>
      <c r="H480" s="1">
        <v>45596</v>
      </c>
      <c r="I480" s="1">
        <v>47597</v>
      </c>
      <c r="J480">
        <v>163800</v>
      </c>
      <c r="K480">
        <v>72</v>
      </c>
      <c r="L480">
        <v>67</v>
      </c>
      <c r="M480">
        <v>5</v>
      </c>
      <c r="N480">
        <v>8.4499999999999993</v>
      </c>
      <c r="O480">
        <v>2908.07</v>
      </c>
      <c r="P480" t="s">
        <v>116</v>
      </c>
      <c r="Q480">
        <v>145023.37</v>
      </c>
      <c r="R480">
        <v>2908.07</v>
      </c>
      <c r="S480">
        <v>2769.27</v>
      </c>
      <c r="T480" s="1">
        <v>45561</v>
      </c>
      <c r="U480" t="s">
        <v>73</v>
      </c>
      <c r="V480">
        <v>0</v>
      </c>
      <c r="W480">
        <v>5</v>
      </c>
      <c r="X480">
        <v>5</v>
      </c>
      <c r="Y480">
        <v>0</v>
      </c>
      <c r="Z480">
        <v>0</v>
      </c>
      <c r="AA480">
        <v>0</v>
      </c>
      <c r="AB480" t="s">
        <v>74</v>
      </c>
      <c r="AC480" t="s">
        <v>75</v>
      </c>
      <c r="AD480">
        <v>2020</v>
      </c>
      <c r="AE480" t="s">
        <v>99</v>
      </c>
      <c r="AF480" t="b">
        <v>0</v>
      </c>
      <c r="AG480">
        <v>255000</v>
      </c>
      <c r="AH480">
        <v>248475.02</v>
      </c>
      <c r="AI480">
        <v>0.64229999999999998</v>
      </c>
      <c r="AJ480">
        <v>0.60499999999999998</v>
      </c>
      <c r="AK480">
        <v>55</v>
      </c>
      <c r="AL480" t="s">
        <v>120</v>
      </c>
      <c r="AM480">
        <v>4682000</v>
      </c>
      <c r="AN480">
        <v>7.4999999999999997E-3</v>
      </c>
      <c r="AO480">
        <v>700</v>
      </c>
      <c r="AP480">
        <v>729</v>
      </c>
      <c r="AQ480" t="s">
        <v>100</v>
      </c>
      <c r="AR480" t="s">
        <v>121</v>
      </c>
      <c r="AS480">
        <v>1</v>
      </c>
      <c r="AT480">
        <v>2.3300000000000001E-2</v>
      </c>
      <c r="AU480">
        <v>0.38109999999999999</v>
      </c>
      <c r="AV480">
        <v>150565.87</v>
      </c>
      <c r="AW480">
        <v>1336.97</v>
      </c>
      <c r="AX480" t="b">
        <v>0</v>
      </c>
      <c r="AY480" t="b">
        <v>0</v>
      </c>
      <c r="AZ480" t="s">
        <v>80</v>
      </c>
      <c r="BA480">
        <v>0</v>
      </c>
      <c r="BB480">
        <v>0</v>
      </c>
      <c r="BC480">
        <v>0</v>
      </c>
      <c r="BD480">
        <v>0</v>
      </c>
      <c r="BE480" t="s">
        <v>134</v>
      </c>
      <c r="BF480" t="b">
        <v>1</v>
      </c>
    </row>
    <row r="481" spans="1:58" x14ac:dyDescent="0.3">
      <c r="A481" t="s">
        <v>1138</v>
      </c>
      <c r="B481" t="s">
        <v>67</v>
      </c>
      <c r="C481" t="s">
        <v>1139</v>
      </c>
      <c r="D481" t="s">
        <v>84</v>
      </c>
      <c r="E481" t="s">
        <v>85</v>
      </c>
      <c r="F481" t="s">
        <v>124</v>
      </c>
      <c r="G481" s="1">
        <v>45477</v>
      </c>
      <c r="H481" s="1">
        <v>45596</v>
      </c>
      <c r="I481" s="1">
        <v>46917</v>
      </c>
      <c r="J481">
        <v>600000</v>
      </c>
      <c r="K481">
        <v>48</v>
      </c>
      <c r="L481">
        <v>45</v>
      </c>
      <c r="M481">
        <v>3</v>
      </c>
      <c r="N481">
        <v>8.5500000000000007</v>
      </c>
      <c r="O481">
        <v>14803.15</v>
      </c>
      <c r="P481" t="s">
        <v>72</v>
      </c>
      <c r="Q481">
        <v>530441.41</v>
      </c>
      <c r="R481">
        <v>14803.15</v>
      </c>
      <c r="S481">
        <v>5019.6000000000004</v>
      </c>
      <c r="T481" s="1">
        <v>45574</v>
      </c>
      <c r="U481" t="s">
        <v>87</v>
      </c>
      <c r="V481">
        <v>24</v>
      </c>
      <c r="W481">
        <v>3</v>
      </c>
      <c r="X481">
        <v>2</v>
      </c>
      <c r="Y481">
        <v>2</v>
      </c>
      <c r="Z481">
        <v>0</v>
      </c>
      <c r="AA481">
        <v>0</v>
      </c>
      <c r="AB481" t="s">
        <v>97</v>
      </c>
      <c r="AC481" t="s">
        <v>98</v>
      </c>
      <c r="AD481">
        <v>2024</v>
      </c>
      <c r="AE481" t="s">
        <v>99</v>
      </c>
      <c r="AF481" t="b">
        <v>1</v>
      </c>
      <c r="AG481">
        <v>840000</v>
      </c>
      <c r="AH481">
        <v>817808.2</v>
      </c>
      <c r="AI481">
        <v>0.71430000000000005</v>
      </c>
      <c r="AJ481">
        <v>0.65510000000000002</v>
      </c>
      <c r="AK481">
        <v>23</v>
      </c>
      <c r="AL481" t="s">
        <v>77</v>
      </c>
      <c r="AM481">
        <v>3593000</v>
      </c>
      <c r="AN481">
        <v>4.9399999999999999E-2</v>
      </c>
      <c r="AO481">
        <v>743</v>
      </c>
      <c r="AP481">
        <v>737</v>
      </c>
      <c r="AQ481" t="s">
        <v>127</v>
      </c>
      <c r="AR481" t="s">
        <v>128</v>
      </c>
      <c r="AS481">
        <v>1</v>
      </c>
      <c r="AT481">
        <v>2.3900000000000001E-2</v>
      </c>
      <c r="AU481">
        <v>0.58289999999999997</v>
      </c>
      <c r="AV481">
        <v>536511.34</v>
      </c>
      <c r="AW481">
        <v>7474.31</v>
      </c>
      <c r="AX481" t="b">
        <v>0</v>
      </c>
      <c r="AY481" t="b">
        <v>0</v>
      </c>
      <c r="AZ481" t="s">
        <v>80</v>
      </c>
      <c r="BA481">
        <v>0</v>
      </c>
      <c r="BB481">
        <v>0</v>
      </c>
      <c r="BC481">
        <v>0</v>
      </c>
      <c r="BD481">
        <v>0</v>
      </c>
      <c r="BE481" t="s">
        <v>81</v>
      </c>
      <c r="BF481" t="b">
        <v>1</v>
      </c>
    </row>
    <row r="482" spans="1:58" x14ac:dyDescent="0.3">
      <c r="A482" t="s">
        <v>1140</v>
      </c>
      <c r="B482" t="s">
        <v>67</v>
      </c>
      <c r="C482" t="s">
        <v>1141</v>
      </c>
      <c r="D482" t="s">
        <v>95</v>
      </c>
      <c r="E482" t="s">
        <v>96</v>
      </c>
      <c r="F482" t="s">
        <v>115</v>
      </c>
      <c r="G482" s="1">
        <v>45302</v>
      </c>
      <c r="H482" s="1">
        <v>45596</v>
      </c>
      <c r="I482" s="1">
        <v>46382</v>
      </c>
      <c r="J482">
        <v>546700</v>
      </c>
      <c r="K482">
        <v>36</v>
      </c>
      <c r="L482">
        <v>27</v>
      </c>
      <c r="M482">
        <v>9</v>
      </c>
      <c r="N482">
        <v>13.72</v>
      </c>
      <c r="O482">
        <v>18610.650000000001</v>
      </c>
      <c r="P482" t="s">
        <v>72</v>
      </c>
      <c r="Q482">
        <v>416904.46</v>
      </c>
      <c r="R482">
        <v>18610.650000000001</v>
      </c>
      <c r="S482">
        <v>18668.43</v>
      </c>
      <c r="T482" s="1">
        <v>45590</v>
      </c>
      <c r="U482" t="s">
        <v>73</v>
      </c>
      <c r="V482">
        <v>0</v>
      </c>
      <c r="W482">
        <v>9</v>
      </c>
      <c r="X482">
        <v>9</v>
      </c>
      <c r="Y482">
        <v>0</v>
      </c>
      <c r="Z482">
        <v>0</v>
      </c>
      <c r="AA482">
        <v>0</v>
      </c>
      <c r="AB482" t="s">
        <v>111</v>
      </c>
      <c r="AC482" t="s">
        <v>197</v>
      </c>
      <c r="AD482">
        <v>2024</v>
      </c>
      <c r="AE482" t="s">
        <v>76</v>
      </c>
      <c r="AF482" t="b">
        <v>1</v>
      </c>
      <c r="AG482">
        <v>897000</v>
      </c>
      <c r="AH482">
        <v>774902.54</v>
      </c>
      <c r="AI482">
        <v>0.60950000000000004</v>
      </c>
      <c r="AJ482">
        <v>0.52100000000000002</v>
      </c>
      <c r="AK482">
        <v>31</v>
      </c>
      <c r="AL482" t="s">
        <v>120</v>
      </c>
      <c r="AM482">
        <v>4672000</v>
      </c>
      <c r="AN482">
        <v>4.7800000000000002E-2</v>
      </c>
      <c r="AO482">
        <v>758</v>
      </c>
      <c r="AP482">
        <v>723</v>
      </c>
      <c r="AQ482" t="s">
        <v>91</v>
      </c>
      <c r="AR482" t="s">
        <v>252</v>
      </c>
      <c r="AS482">
        <v>1</v>
      </c>
      <c r="AT482">
        <v>1.9199999999999998E-2</v>
      </c>
      <c r="AU482">
        <v>0.60860000000000003</v>
      </c>
      <c r="AV482">
        <v>417370.98</v>
      </c>
      <c r="AW482">
        <v>4877.03</v>
      </c>
      <c r="AX482" t="b">
        <v>0</v>
      </c>
      <c r="AY482" t="b">
        <v>0</v>
      </c>
      <c r="AZ482" t="s">
        <v>80</v>
      </c>
      <c r="BA482">
        <v>0</v>
      </c>
      <c r="BB482">
        <v>0</v>
      </c>
      <c r="BC482">
        <v>0</v>
      </c>
      <c r="BD482">
        <v>0</v>
      </c>
      <c r="BE482" t="s">
        <v>134</v>
      </c>
      <c r="BF482" t="b">
        <v>1</v>
      </c>
    </row>
    <row r="483" spans="1:58" x14ac:dyDescent="0.3">
      <c r="A483" t="s">
        <v>1142</v>
      </c>
      <c r="B483" t="s">
        <v>67</v>
      </c>
      <c r="C483" t="s">
        <v>1143</v>
      </c>
      <c r="D483" t="s">
        <v>69</v>
      </c>
      <c r="E483" t="s">
        <v>70</v>
      </c>
      <c r="F483" t="s">
        <v>71</v>
      </c>
      <c r="G483" s="1">
        <v>44731</v>
      </c>
      <c r="H483" s="1">
        <v>45596</v>
      </c>
      <c r="I483" s="1">
        <v>46531</v>
      </c>
      <c r="J483">
        <v>457400</v>
      </c>
      <c r="K483">
        <v>60</v>
      </c>
      <c r="L483">
        <v>32</v>
      </c>
      <c r="M483">
        <v>28</v>
      </c>
      <c r="N483">
        <v>7.73</v>
      </c>
      <c r="O483">
        <v>9215.43</v>
      </c>
      <c r="P483" t="s">
        <v>72</v>
      </c>
      <c r="Q483">
        <v>221698.04</v>
      </c>
      <c r="R483">
        <v>9215.43</v>
      </c>
      <c r="S483">
        <v>815.09</v>
      </c>
      <c r="T483" s="1">
        <v>45561</v>
      </c>
      <c r="U483" t="s">
        <v>143</v>
      </c>
      <c r="V483">
        <v>49</v>
      </c>
      <c r="W483">
        <v>28</v>
      </c>
      <c r="X483">
        <v>24</v>
      </c>
      <c r="Y483">
        <v>2</v>
      </c>
      <c r="Z483">
        <v>1</v>
      </c>
      <c r="AA483">
        <v>0</v>
      </c>
      <c r="AB483" t="s">
        <v>208</v>
      </c>
      <c r="AC483" t="s">
        <v>405</v>
      </c>
      <c r="AD483">
        <v>2022</v>
      </c>
      <c r="AE483" t="s">
        <v>99</v>
      </c>
      <c r="AF483" t="b">
        <v>1</v>
      </c>
      <c r="AG483">
        <v>539000</v>
      </c>
      <c r="AH483">
        <v>326358.09999999998</v>
      </c>
      <c r="AI483">
        <v>0.84860000000000002</v>
      </c>
      <c r="AJ483">
        <v>0.61939999999999995</v>
      </c>
      <c r="AK483">
        <v>47</v>
      </c>
      <c r="AL483" t="s">
        <v>120</v>
      </c>
      <c r="AM483">
        <v>4796000</v>
      </c>
      <c r="AN483">
        <v>2.3099999999999999E-2</v>
      </c>
      <c r="AO483">
        <v>794</v>
      </c>
      <c r="AP483">
        <v>801</v>
      </c>
      <c r="AQ483" t="s">
        <v>91</v>
      </c>
      <c r="AR483" t="s">
        <v>192</v>
      </c>
      <c r="AS483">
        <v>2</v>
      </c>
      <c r="AT483">
        <v>0.1021</v>
      </c>
      <c r="AU483">
        <v>0.60250000000000004</v>
      </c>
      <c r="AV483">
        <v>223215.11</v>
      </c>
      <c r="AW483">
        <v>13731.13</v>
      </c>
      <c r="AX483" t="b">
        <v>0</v>
      </c>
      <c r="AY483" t="b">
        <v>0</v>
      </c>
      <c r="AZ483" t="s">
        <v>80</v>
      </c>
      <c r="BA483">
        <v>0</v>
      </c>
      <c r="BB483">
        <v>0</v>
      </c>
      <c r="BC483">
        <v>0</v>
      </c>
      <c r="BD483">
        <v>0</v>
      </c>
      <c r="BE483" t="s">
        <v>81</v>
      </c>
      <c r="BF483" t="b">
        <v>1</v>
      </c>
    </row>
    <row r="484" spans="1:58" x14ac:dyDescent="0.3">
      <c r="A484" t="s">
        <v>1144</v>
      </c>
      <c r="B484" t="s">
        <v>67</v>
      </c>
      <c r="C484" t="s">
        <v>1145</v>
      </c>
      <c r="D484" t="s">
        <v>69</v>
      </c>
      <c r="E484" t="s">
        <v>70</v>
      </c>
      <c r="F484" t="s">
        <v>124</v>
      </c>
      <c r="G484" s="1">
        <v>44439</v>
      </c>
      <c r="H484" s="1">
        <v>45596</v>
      </c>
      <c r="I484" s="1">
        <v>46599</v>
      </c>
      <c r="J484">
        <v>900000</v>
      </c>
      <c r="K484">
        <v>72</v>
      </c>
      <c r="L484">
        <v>34</v>
      </c>
      <c r="M484">
        <v>38</v>
      </c>
      <c r="N484">
        <v>8.6300000000000008</v>
      </c>
      <c r="O484">
        <v>16058.21</v>
      </c>
      <c r="P484" t="s">
        <v>116</v>
      </c>
      <c r="Q484">
        <v>415412.84</v>
      </c>
      <c r="R484">
        <v>16058.21</v>
      </c>
      <c r="S484">
        <v>16560.830000000002</v>
      </c>
      <c r="T484" s="1">
        <v>45578</v>
      </c>
      <c r="U484" t="s">
        <v>73</v>
      </c>
      <c r="V484">
        <v>0</v>
      </c>
      <c r="W484">
        <v>38</v>
      </c>
      <c r="X484">
        <v>38</v>
      </c>
      <c r="Y484">
        <v>0</v>
      </c>
      <c r="Z484">
        <v>0</v>
      </c>
      <c r="AA484">
        <v>0</v>
      </c>
      <c r="AB484" t="s">
        <v>97</v>
      </c>
      <c r="AC484" t="s">
        <v>98</v>
      </c>
      <c r="AD484">
        <v>2020</v>
      </c>
      <c r="AE484" t="s">
        <v>166</v>
      </c>
      <c r="AF484" t="b">
        <v>0</v>
      </c>
      <c r="AG484">
        <v>1217000</v>
      </c>
      <c r="AH484">
        <v>643659.1</v>
      </c>
      <c r="AI484">
        <v>0.73950000000000005</v>
      </c>
      <c r="AJ484">
        <v>0.62749999999999995</v>
      </c>
      <c r="AK484">
        <v>25</v>
      </c>
      <c r="AL484" t="s">
        <v>132</v>
      </c>
      <c r="AM484">
        <v>2143000</v>
      </c>
      <c r="AN484">
        <v>8.9899999999999994E-2</v>
      </c>
      <c r="AO484">
        <v>764</v>
      </c>
      <c r="AP484">
        <v>727</v>
      </c>
      <c r="AQ484" t="s">
        <v>100</v>
      </c>
      <c r="AR484" t="s">
        <v>149</v>
      </c>
      <c r="AS484">
        <v>1</v>
      </c>
      <c r="AT484">
        <v>1.9400000000000001E-2</v>
      </c>
      <c r="AU484">
        <v>0.42399999999999999</v>
      </c>
      <c r="AV484">
        <v>425007.76</v>
      </c>
      <c r="AW484">
        <v>3495.94</v>
      </c>
      <c r="AX484" t="b">
        <v>0</v>
      </c>
      <c r="AY484" t="b">
        <v>0</v>
      </c>
      <c r="AZ484" t="s">
        <v>80</v>
      </c>
      <c r="BA484">
        <v>0</v>
      </c>
      <c r="BB484">
        <v>0</v>
      </c>
      <c r="BC484">
        <v>0</v>
      </c>
      <c r="BD484">
        <v>0</v>
      </c>
      <c r="BE484" t="s">
        <v>81</v>
      </c>
      <c r="BF484" t="b">
        <v>1</v>
      </c>
    </row>
    <row r="485" spans="1:58" x14ac:dyDescent="0.3">
      <c r="A485" t="s">
        <v>1146</v>
      </c>
      <c r="B485" t="s">
        <v>67</v>
      </c>
      <c r="C485" t="s">
        <v>1147</v>
      </c>
      <c r="D485" t="s">
        <v>95</v>
      </c>
      <c r="E485" t="s">
        <v>96</v>
      </c>
      <c r="F485" t="s">
        <v>86</v>
      </c>
      <c r="G485" s="1">
        <v>45283</v>
      </c>
      <c r="H485" s="1">
        <v>45596</v>
      </c>
      <c r="I485" s="1">
        <v>46363</v>
      </c>
      <c r="J485">
        <v>1076600</v>
      </c>
      <c r="K485">
        <v>36</v>
      </c>
      <c r="L485">
        <v>26</v>
      </c>
      <c r="M485">
        <v>10</v>
      </c>
      <c r="N485">
        <v>7.62</v>
      </c>
      <c r="O485">
        <v>33548.32</v>
      </c>
      <c r="P485" t="s">
        <v>72</v>
      </c>
      <c r="Q485">
        <v>750535.98</v>
      </c>
      <c r="R485">
        <v>33548.32</v>
      </c>
      <c r="S485">
        <v>33630.9</v>
      </c>
      <c r="T485" s="1">
        <v>45588</v>
      </c>
      <c r="U485" t="s">
        <v>73</v>
      </c>
      <c r="V485">
        <v>0</v>
      </c>
      <c r="W485">
        <v>10</v>
      </c>
      <c r="X485">
        <v>10</v>
      </c>
      <c r="Y485">
        <v>0</v>
      </c>
      <c r="Z485">
        <v>0</v>
      </c>
      <c r="AA485">
        <v>0</v>
      </c>
      <c r="AB485" t="s">
        <v>88</v>
      </c>
      <c r="AC485" t="s">
        <v>171</v>
      </c>
      <c r="AD485">
        <v>2023</v>
      </c>
      <c r="AE485" t="s">
        <v>166</v>
      </c>
      <c r="AF485" t="b">
        <v>1</v>
      </c>
      <c r="AG485">
        <v>1272000</v>
      </c>
      <c r="AH485">
        <v>1164017.3700000001</v>
      </c>
      <c r="AI485">
        <v>0.84640000000000004</v>
      </c>
      <c r="AJ485">
        <v>0.67049999999999998</v>
      </c>
      <c r="AK485">
        <v>56</v>
      </c>
      <c r="AL485" t="s">
        <v>106</v>
      </c>
      <c r="AM485">
        <v>3695000</v>
      </c>
      <c r="AN485">
        <v>0.109</v>
      </c>
      <c r="AO485">
        <v>802</v>
      </c>
      <c r="AP485">
        <v>784</v>
      </c>
      <c r="AQ485" t="s">
        <v>127</v>
      </c>
      <c r="AR485" t="s">
        <v>128</v>
      </c>
      <c r="AS485">
        <v>1</v>
      </c>
      <c r="AT485">
        <v>2.41E-2</v>
      </c>
      <c r="AU485">
        <v>0.6169</v>
      </c>
      <c r="AV485">
        <v>766928.02</v>
      </c>
      <c r="AW485">
        <v>11402.14</v>
      </c>
      <c r="AX485" t="b">
        <v>0</v>
      </c>
      <c r="AY485" t="b">
        <v>0</v>
      </c>
      <c r="AZ485" t="s">
        <v>80</v>
      </c>
      <c r="BA485">
        <v>0</v>
      </c>
      <c r="BB485">
        <v>0</v>
      </c>
      <c r="BC485">
        <v>0</v>
      </c>
      <c r="BD485">
        <v>0</v>
      </c>
      <c r="BE485" t="s">
        <v>81</v>
      </c>
      <c r="BF485" t="b">
        <v>1</v>
      </c>
    </row>
    <row r="486" spans="1:58" x14ac:dyDescent="0.3">
      <c r="A486" t="s">
        <v>1148</v>
      </c>
      <c r="B486" t="s">
        <v>67</v>
      </c>
      <c r="C486" t="s">
        <v>1149</v>
      </c>
      <c r="D486" t="s">
        <v>84</v>
      </c>
      <c r="E486" t="s">
        <v>85</v>
      </c>
      <c r="F486" t="s">
        <v>86</v>
      </c>
      <c r="G486" s="1">
        <v>45169</v>
      </c>
      <c r="H486" s="1">
        <v>45596</v>
      </c>
      <c r="I486" s="1">
        <v>46249</v>
      </c>
      <c r="J486">
        <v>954700</v>
      </c>
      <c r="K486">
        <v>36</v>
      </c>
      <c r="L486">
        <v>22</v>
      </c>
      <c r="M486">
        <v>14</v>
      </c>
      <c r="N486">
        <v>13.07</v>
      </c>
      <c r="O486">
        <v>32199.81</v>
      </c>
      <c r="P486" t="s">
        <v>116</v>
      </c>
      <c r="Q486">
        <v>529511.25</v>
      </c>
      <c r="R486">
        <v>32199.81</v>
      </c>
      <c r="S486">
        <v>30726.01</v>
      </c>
      <c r="T486" s="1">
        <v>45564</v>
      </c>
      <c r="U486" t="s">
        <v>73</v>
      </c>
      <c r="V486">
        <v>0</v>
      </c>
      <c r="W486">
        <v>14</v>
      </c>
      <c r="X486">
        <v>14</v>
      </c>
      <c r="Y486">
        <v>0</v>
      </c>
      <c r="Z486">
        <v>0</v>
      </c>
      <c r="AA486">
        <v>0</v>
      </c>
      <c r="AB486" t="s">
        <v>117</v>
      </c>
      <c r="AC486" t="s">
        <v>257</v>
      </c>
      <c r="AD486">
        <v>2020</v>
      </c>
      <c r="AE486" t="s">
        <v>166</v>
      </c>
      <c r="AF486" t="b">
        <v>0</v>
      </c>
      <c r="AG486">
        <v>1018000</v>
      </c>
      <c r="AH486">
        <v>768698.11</v>
      </c>
      <c r="AI486">
        <v>0.93779999999999997</v>
      </c>
      <c r="AJ486">
        <v>0.62519999999999998</v>
      </c>
      <c r="AK486">
        <v>54</v>
      </c>
      <c r="AL486" t="s">
        <v>120</v>
      </c>
      <c r="AM486">
        <v>884000</v>
      </c>
      <c r="AN486">
        <v>0.43709999999999999</v>
      </c>
      <c r="AO486">
        <v>714</v>
      </c>
      <c r="AP486">
        <v>668</v>
      </c>
      <c r="AQ486" t="s">
        <v>145</v>
      </c>
      <c r="AR486" t="s">
        <v>157</v>
      </c>
      <c r="AS486">
        <v>1</v>
      </c>
      <c r="AT486">
        <v>2.0899999999999998E-2</v>
      </c>
      <c r="AU486">
        <v>0.44450000000000001</v>
      </c>
      <c r="AV486">
        <v>547189.24</v>
      </c>
      <c r="AW486">
        <v>5083.42</v>
      </c>
      <c r="AX486" t="b">
        <v>0</v>
      </c>
      <c r="AY486" t="b">
        <v>0</v>
      </c>
      <c r="AZ486" t="s">
        <v>80</v>
      </c>
      <c r="BA486">
        <v>0</v>
      </c>
      <c r="BB486">
        <v>0</v>
      </c>
      <c r="BC486">
        <v>0</v>
      </c>
      <c r="BD486">
        <v>0</v>
      </c>
      <c r="BE486" t="s">
        <v>81</v>
      </c>
      <c r="BF486" t="b">
        <v>1</v>
      </c>
    </row>
    <row r="487" spans="1:58" x14ac:dyDescent="0.3">
      <c r="A487" t="s">
        <v>1150</v>
      </c>
      <c r="B487" t="s">
        <v>67</v>
      </c>
      <c r="C487" t="s">
        <v>1151</v>
      </c>
      <c r="D487" t="s">
        <v>95</v>
      </c>
      <c r="E487" t="s">
        <v>96</v>
      </c>
      <c r="F487" t="s">
        <v>86</v>
      </c>
      <c r="G487" s="1">
        <v>45404</v>
      </c>
      <c r="H487" s="1">
        <v>45596</v>
      </c>
      <c r="I487" s="1">
        <v>47924</v>
      </c>
      <c r="J487">
        <v>2442900</v>
      </c>
      <c r="K487">
        <v>84</v>
      </c>
      <c r="L487">
        <v>78</v>
      </c>
      <c r="M487">
        <v>6</v>
      </c>
      <c r="N487">
        <v>11.2</v>
      </c>
      <c r="O487">
        <v>42085.73</v>
      </c>
      <c r="P487" t="s">
        <v>72</v>
      </c>
      <c r="Q487">
        <v>2209255.4</v>
      </c>
      <c r="R487">
        <v>42085.73</v>
      </c>
      <c r="S487">
        <v>43189.2</v>
      </c>
      <c r="T487" s="1">
        <v>45569</v>
      </c>
      <c r="U487" t="s">
        <v>73</v>
      </c>
      <c r="V487">
        <v>0</v>
      </c>
      <c r="W487">
        <v>6</v>
      </c>
      <c r="X487">
        <v>6</v>
      </c>
      <c r="Y487">
        <v>0</v>
      </c>
      <c r="Z487">
        <v>0</v>
      </c>
      <c r="AA487">
        <v>0</v>
      </c>
      <c r="AB487" t="s">
        <v>88</v>
      </c>
      <c r="AC487" t="s">
        <v>181</v>
      </c>
      <c r="AD487">
        <v>2024</v>
      </c>
      <c r="AE487" t="s">
        <v>166</v>
      </c>
      <c r="AF487" t="b">
        <v>1</v>
      </c>
      <c r="AG487">
        <v>3309000</v>
      </c>
      <c r="AH487">
        <v>2876075.74</v>
      </c>
      <c r="AI487">
        <v>0.73829999999999996</v>
      </c>
      <c r="AJ487">
        <v>0.71950000000000003</v>
      </c>
      <c r="AK487">
        <v>26</v>
      </c>
      <c r="AL487" t="s">
        <v>77</v>
      </c>
      <c r="AM487">
        <v>2477000</v>
      </c>
      <c r="AN487">
        <v>0.2039</v>
      </c>
      <c r="AO487">
        <v>762</v>
      </c>
      <c r="AP487">
        <v>727</v>
      </c>
      <c r="AQ487" t="s">
        <v>127</v>
      </c>
      <c r="AR487" t="s">
        <v>215</v>
      </c>
      <c r="AS487">
        <v>1</v>
      </c>
      <c r="AT487">
        <v>2.5399999999999999E-2</v>
      </c>
      <c r="AU487">
        <v>0.4955</v>
      </c>
      <c r="AV487">
        <v>2272331.62</v>
      </c>
      <c r="AW487">
        <v>28598.880000000001</v>
      </c>
      <c r="AX487" t="b">
        <v>0</v>
      </c>
      <c r="AY487" t="b">
        <v>0</v>
      </c>
      <c r="AZ487" t="s">
        <v>80</v>
      </c>
      <c r="BA487">
        <v>0</v>
      </c>
      <c r="BB487">
        <v>0</v>
      </c>
      <c r="BC487">
        <v>0</v>
      </c>
      <c r="BD487">
        <v>0</v>
      </c>
      <c r="BE487" t="s">
        <v>108</v>
      </c>
      <c r="BF487" t="b">
        <v>0</v>
      </c>
    </row>
    <row r="488" spans="1:58" x14ac:dyDescent="0.3">
      <c r="A488" t="s">
        <v>1152</v>
      </c>
      <c r="B488" t="s">
        <v>67</v>
      </c>
      <c r="C488" t="s">
        <v>1153</v>
      </c>
      <c r="D488" t="s">
        <v>69</v>
      </c>
      <c r="E488" t="s">
        <v>70</v>
      </c>
      <c r="F488" t="s">
        <v>71</v>
      </c>
      <c r="G488" s="1">
        <v>45252</v>
      </c>
      <c r="H488" s="1">
        <v>45596</v>
      </c>
      <c r="I488" s="1">
        <v>46332</v>
      </c>
      <c r="J488">
        <v>904300</v>
      </c>
      <c r="K488">
        <v>36</v>
      </c>
      <c r="L488">
        <v>25</v>
      </c>
      <c r="M488">
        <v>11</v>
      </c>
      <c r="N488">
        <v>7.97</v>
      </c>
      <c r="O488">
        <v>28324.959999999999</v>
      </c>
      <c r="P488" t="s">
        <v>72</v>
      </c>
      <c r="Q488">
        <v>642669.62</v>
      </c>
      <c r="R488">
        <v>28324.959999999999</v>
      </c>
      <c r="S488">
        <v>29581.78</v>
      </c>
      <c r="T488" s="1">
        <v>45591</v>
      </c>
      <c r="U488" t="s">
        <v>73</v>
      </c>
      <c r="V488">
        <v>0</v>
      </c>
      <c r="W488">
        <v>11</v>
      </c>
      <c r="X488">
        <v>11</v>
      </c>
      <c r="Y488">
        <v>0</v>
      </c>
      <c r="Z488">
        <v>0</v>
      </c>
      <c r="AA488">
        <v>0</v>
      </c>
      <c r="AB488" t="s">
        <v>104</v>
      </c>
      <c r="AC488" t="s">
        <v>156</v>
      </c>
      <c r="AD488">
        <v>2023</v>
      </c>
      <c r="AE488" t="s">
        <v>99</v>
      </c>
      <c r="AF488" t="b">
        <v>1</v>
      </c>
      <c r="AG488">
        <v>1196000</v>
      </c>
      <c r="AH488">
        <v>983150.97</v>
      </c>
      <c r="AI488">
        <v>0.75609999999999999</v>
      </c>
      <c r="AJ488">
        <v>0.61909999999999998</v>
      </c>
      <c r="AK488">
        <v>32</v>
      </c>
      <c r="AL488" t="s">
        <v>120</v>
      </c>
      <c r="AM488">
        <v>4286000</v>
      </c>
      <c r="AN488">
        <v>7.9299999999999995E-2</v>
      </c>
      <c r="AO488">
        <v>819</v>
      </c>
      <c r="AP488">
        <v>786</v>
      </c>
      <c r="AQ488" t="s">
        <v>145</v>
      </c>
      <c r="AR488" t="s">
        <v>176</v>
      </c>
      <c r="AS488">
        <v>1</v>
      </c>
      <c r="AT488">
        <v>2.1899999999999999E-2</v>
      </c>
      <c r="AU488">
        <v>0.54779999999999995</v>
      </c>
      <c r="AV488">
        <v>662940.21</v>
      </c>
      <c r="AW488">
        <v>7953.17</v>
      </c>
      <c r="AX488" t="b">
        <v>0</v>
      </c>
      <c r="AY488" t="b">
        <v>0</v>
      </c>
      <c r="AZ488" t="s">
        <v>80</v>
      </c>
      <c r="BA488">
        <v>0</v>
      </c>
      <c r="BB488">
        <v>0</v>
      </c>
      <c r="BC488">
        <v>0</v>
      </c>
      <c r="BD488">
        <v>0</v>
      </c>
      <c r="BE488" t="s">
        <v>108</v>
      </c>
      <c r="BF488" t="b">
        <v>1</v>
      </c>
    </row>
    <row r="489" spans="1:58" x14ac:dyDescent="0.3">
      <c r="A489" t="s">
        <v>1154</v>
      </c>
      <c r="B489" t="s">
        <v>67</v>
      </c>
      <c r="C489" t="s">
        <v>1155</v>
      </c>
      <c r="D489" t="s">
        <v>69</v>
      </c>
      <c r="E489" t="s">
        <v>70</v>
      </c>
      <c r="F489" t="s">
        <v>124</v>
      </c>
      <c r="G489" s="1">
        <v>45456</v>
      </c>
      <c r="H489" s="1">
        <v>45596</v>
      </c>
      <c r="I489" s="1">
        <v>46536</v>
      </c>
      <c r="J489">
        <v>318100</v>
      </c>
      <c r="K489">
        <v>36</v>
      </c>
      <c r="L489">
        <v>32</v>
      </c>
      <c r="M489">
        <v>4</v>
      </c>
      <c r="N489">
        <v>12.62</v>
      </c>
      <c r="O489">
        <v>10659.92</v>
      </c>
      <c r="P489" t="s">
        <v>72</v>
      </c>
      <c r="Q489">
        <v>277277.24</v>
      </c>
      <c r="R489">
        <v>10659.92</v>
      </c>
      <c r="S489">
        <v>10403.549999999999</v>
      </c>
      <c r="T489" s="1">
        <v>45594</v>
      </c>
      <c r="U489" t="s">
        <v>73</v>
      </c>
      <c r="V489">
        <v>0</v>
      </c>
      <c r="W489">
        <v>4</v>
      </c>
      <c r="X489">
        <v>4</v>
      </c>
      <c r="Y489">
        <v>0</v>
      </c>
      <c r="Z489">
        <v>0</v>
      </c>
      <c r="AA489">
        <v>0</v>
      </c>
      <c r="AB489" t="s">
        <v>104</v>
      </c>
      <c r="AC489" t="s">
        <v>156</v>
      </c>
      <c r="AD489">
        <v>2024</v>
      </c>
      <c r="AE489" t="s">
        <v>99</v>
      </c>
      <c r="AF489" t="b">
        <v>1</v>
      </c>
      <c r="AG489">
        <v>421000</v>
      </c>
      <c r="AH489">
        <v>394282.14</v>
      </c>
      <c r="AI489">
        <v>0.75560000000000005</v>
      </c>
      <c r="AJ489">
        <v>0.69179999999999997</v>
      </c>
      <c r="AK489">
        <v>59</v>
      </c>
      <c r="AL489" t="s">
        <v>106</v>
      </c>
      <c r="AM489">
        <v>2836000</v>
      </c>
      <c r="AN489">
        <v>4.5100000000000001E-2</v>
      </c>
      <c r="AO489">
        <v>668</v>
      </c>
      <c r="AP489">
        <v>687</v>
      </c>
      <c r="AQ489" t="s">
        <v>127</v>
      </c>
      <c r="AR489" t="s">
        <v>185</v>
      </c>
      <c r="AS489">
        <v>1</v>
      </c>
      <c r="AT489">
        <v>2.5700000000000001E-2</v>
      </c>
      <c r="AU489">
        <v>0.46210000000000001</v>
      </c>
      <c r="AV489">
        <v>290205.39</v>
      </c>
      <c r="AW489">
        <v>3446.47</v>
      </c>
      <c r="AX489" t="b">
        <v>0</v>
      </c>
      <c r="AY489" t="b">
        <v>0</v>
      </c>
      <c r="AZ489" t="s">
        <v>80</v>
      </c>
      <c r="BA489">
        <v>0</v>
      </c>
      <c r="BB489">
        <v>0</v>
      </c>
      <c r="BC489">
        <v>0</v>
      </c>
      <c r="BD489">
        <v>0</v>
      </c>
      <c r="BE489" t="s">
        <v>81</v>
      </c>
      <c r="BF489" t="b">
        <v>1</v>
      </c>
    </row>
    <row r="490" spans="1:58" x14ac:dyDescent="0.3">
      <c r="A490" t="s">
        <v>1156</v>
      </c>
      <c r="B490" t="s">
        <v>67</v>
      </c>
      <c r="C490" t="s">
        <v>1157</v>
      </c>
      <c r="D490" t="s">
        <v>95</v>
      </c>
      <c r="E490" t="s">
        <v>96</v>
      </c>
      <c r="F490" t="s">
        <v>115</v>
      </c>
      <c r="G490" s="1">
        <v>44852</v>
      </c>
      <c r="H490" s="1">
        <v>45596</v>
      </c>
      <c r="I490" s="1">
        <v>45932</v>
      </c>
      <c r="J490">
        <v>481100</v>
      </c>
      <c r="K490">
        <v>36</v>
      </c>
      <c r="L490">
        <v>12</v>
      </c>
      <c r="M490">
        <v>24</v>
      </c>
      <c r="N490">
        <v>14.04</v>
      </c>
      <c r="O490">
        <v>16452.21</v>
      </c>
      <c r="P490" t="s">
        <v>116</v>
      </c>
      <c r="Q490">
        <v>156619.66</v>
      </c>
      <c r="R490">
        <v>16452.21</v>
      </c>
      <c r="S490">
        <v>16326.39</v>
      </c>
      <c r="T490" s="1">
        <v>45574</v>
      </c>
      <c r="U490" t="s">
        <v>73</v>
      </c>
      <c r="V490">
        <v>0</v>
      </c>
      <c r="W490">
        <v>24</v>
      </c>
      <c r="X490">
        <v>24</v>
      </c>
      <c r="Y490">
        <v>0</v>
      </c>
      <c r="Z490">
        <v>0</v>
      </c>
      <c r="AA490">
        <v>0</v>
      </c>
      <c r="AB490" t="s">
        <v>164</v>
      </c>
      <c r="AC490" t="s">
        <v>426</v>
      </c>
      <c r="AD490">
        <v>2020</v>
      </c>
      <c r="AE490" t="s">
        <v>76</v>
      </c>
      <c r="AF490" t="b">
        <v>0</v>
      </c>
      <c r="AG490">
        <v>595000</v>
      </c>
      <c r="AH490">
        <v>417467.54</v>
      </c>
      <c r="AI490">
        <v>0.8085</v>
      </c>
      <c r="AJ490">
        <v>0.36969999999999997</v>
      </c>
      <c r="AK490">
        <v>61</v>
      </c>
      <c r="AL490" t="s">
        <v>106</v>
      </c>
      <c r="AM490">
        <v>3240000</v>
      </c>
      <c r="AN490">
        <v>6.0900000000000003E-2</v>
      </c>
      <c r="AO490">
        <v>758</v>
      </c>
      <c r="AP490">
        <v>779</v>
      </c>
      <c r="AQ490" t="s">
        <v>78</v>
      </c>
      <c r="AR490" t="s">
        <v>79</v>
      </c>
      <c r="AS490">
        <v>1</v>
      </c>
      <c r="AT490">
        <v>2.1100000000000001E-2</v>
      </c>
      <c r="AU490">
        <v>0.41880000000000001</v>
      </c>
      <c r="AV490">
        <v>157543.04000000001</v>
      </c>
      <c r="AW490">
        <v>1392.16</v>
      </c>
      <c r="AX490" t="b">
        <v>0</v>
      </c>
      <c r="AY490" t="b">
        <v>0</v>
      </c>
      <c r="AZ490" t="s">
        <v>80</v>
      </c>
      <c r="BA490">
        <v>0</v>
      </c>
      <c r="BB490">
        <v>0</v>
      </c>
      <c r="BC490">
        <v>0</v>
      </c>
      <c r="BD490">
        <v>0</v>
      </c>
      <c r="BE490" t="s">
        <v>108</v>
      </c>
      <c r="BF490" t="b">
        <v>1</v>
      </c>
    </row>
    <row r="491" spans="1:58" x14ac:dyDescent="0.3">
      <c r="A491" t="s">
        <v>1158</v>
      </c>
      <c r="B491" t="s">
        <v>67</v>
      </c>
      <c r="C491" t="s">
        <v>1159</v>
      </c>
      <c r="D491" t="s">
        <v>84</v>
      </c>
      <c r="E491" t="s">
        <v>85</v>
      </c>
      <c r="F491" t="s">
        <v>71</v>
      </c>
      <c r="G491" s="1">
        <v>45209</v>
      </c>
      <c r="H491" s="1">
        <v>45596</v>
      </c>
      <c r="I491" s="1">
        <v>47729</v>
      </c>
      <c r="J491">
        <v>2313400</v>
      </c>
      <c r="K491">
        <v>84</v>
      </c>
      <c r="L491">
        <v>72</v>
      </c>
      <c r="M491">
        <v>12</v>
      </c>
      <c r="N491">
        <v>11.41</v>
      </c>
      <c r="O491">
        <v>40111.51</v>
      </c>
      <c r="P491" t="s">
        <v>72</v>
      </c>
      <c r="Q491">
        <v>1883760.71</v>
      </c>
      <c r="R491">
        <v>40111.51</v>
      </c>
      <c r="S491">
        <v>38365.699999999997</v>
      </c>
      <c r="T491" s="1">
        <v>45596</v>
      </c>
      <c r="U491" t="s">
        <v>73</v>
      </c>
      <c r="V491">
        <v>0</v>
      </c>
      <c r="W491">
        <v>12</v>
      </c>
      <c r="X491">
        <v>12</v>
      </c>
      <c r="Y491">
        <v>0</v>
      </c>
      <c r="Z491">
        <v>0</v>
      </c>
      <c r="AA491">
        <v>0</v>
      </c>
      <c r="AB491" t="s">
        <v>97</v>
      </c>
      <c r="AC491" t="s">
        <v>98</v>
      </c>
      <c r="AD491">
        <v>2023</v>
      </c>
      <c r="AE491" t="s">
        <v>119</v>
      </c>
      <c r="AF491" t="b">
        <v>1</v>
      </c>
      <c r="AG491">
        <v>2620000</v>
      </c>
      <c r="AH491">
        <v>2087052.47</v>
      </c>
      <c r="AI491">
        <v>0.88300000000000001</v>
      </c>
      <c r="AJ491">
        <v>0.83989999999999998</v>
      </c>
      <c r="AK491">
        <v>45</v>
      </c>
      <c r="AL491" t="s">
        <v>132</v>
      </c>
      <c r="AM491">
        <v>1597000</v>
      </c>
      <c r="AN491">
        <v>0.3014</v>
      </c>
      <c r="AO491">
        <v>818</v>
      </c>
      <c r="AP491">
        <v>818</v>
      </c>
      <c r="AQ491" t="s">
        <v>100</v>
      </c>
      <c r="AR491" t="s">
        <v>101</v>
      </c>
      <c r="AS491">
        <v>1</v>
      </c>
      <c r="AT491">
        <v>2.2599999999999999E-2</v>
      </c>
      <c r="AU491">
        <v>0.63070000000000004</v>
      </c>
      <c r="AV491">
        <v>1924196.41</v>
      </c>
      <c r="AW491">
        <v>27427.15</v>
      </c>
      <c r="AX491" t="b">
        <v>0</v>
      </c>
      <c r="AY491" t="b">
        <v>0</v>
      </c>
      <c r="AZ491" t="s">
        <v>80</v>
      </c>
      <c r="BA491">
        <v>0</v>
      </c>
      <c r="BB491">
        <v>0</v>
      </c>
      <c r="BC491">
        <v>0</v>
      </c>
      <c r="BD491">
        <v>0</v>
      </c>
      <c r="BE491" t="s">
        <v>81</v>
      </c>
      <c r="BF491" t="b">
        <v>1</v>
      </c>
    </row>
    <row r="492" spans="1:58" x14ac:dyDescent="0.3">
      <c r="A492" t="s">
        <v>1160</v>
      </c>
      <c r="B492" t="s">
        <v>67</v>
      </c>
      <c r="C492" t="s">
        <v>1161</v>
      </c>
      <c r="D492" t="s">
        <v>69</v>
      </c>
      <c r="E492" t="s">
        <v>70</v>
      </c>
      <c r="F492" t="s">
        <v>86</v>
      </c>
      <c r="G492" s="1">
        <v>44889</v>
      </c>
      <c r="H492" s="1">
        <v>45596</v>
      </c>
      <c r="I492" s="1">
        <v>45969</v>
      </c>
      <c r="J492">
        <v>852200</v>
      </c>
      <c r="K492">
        <v>36</v>
      </c>
      <c r="L492">
        <v>13</v>
      </c>
      <c r="M492">
        <v>23</v>
      </c>
      <c r="N492">
        <v>11.02</v>
      </c>
      <c r="O492">
        <v>27908.01</v>
      </c>
      <c r="P492" t="s">
        <v>116</v>
      </c>
      <c r="Q492">
        <v>303455.33</v>
      </c>
      <c r="R492">
        <v>27908.01</v>
      </c>
      <c r="S492">
        <v>5543.32</v>
      </c>
      <c r="T492" s="1">
        <v>45586</v>
      </c>
      <c r="U492" t="s">
        <v>143</v>
      </c>
      <c r="V492">
        <v>38</v>
      </c>
      <c r="W492">
        <v>23</v>
      </c>
      <c r="X492">
        <v>17</v>
      </c>
      <c r="Y492">
        <v>0</v>
      </c>
      <c r="Z492">
        <v>1</v>
      </c>
      <c r="AA492">
        <v>0</v>
      </c>
      <c r="AB492" t="s">
        <v>74</v>
      </c>
      <c r="AC492" t="s">
        <v>188</v>
      </c>
      <c r="AD492">
        <v>2019</v>
      </c>
      <c r="AE492" t="s">
        <v>90</v>
      </c>
      <c r="AF492" t="b">
        <v>0</v>
      </c>
      <c r="AG492">
        <v>1148000</v>
      </c>
      <c r="AH492">
        <v>914030.98</v>
      </c>
      <c r="AI492">
        <v>0.74229999999999996</v>
      </c>
      <c r="AJ492">
        <v>0.36509999999999998</v>
      </c>
      <c r="AK492">
        <v>37</v>
      </c>
      <c r="AL492" t="s">
        <v>106</v>
      </c>
      <c r="AM492">
        <v>2944000</v>
      </c>
      <c r="AN492">
        <v>0.1138</v>
      </c>
      <c r="AO492">
        <v>778</v>
      </c>
      <c r="AP492">
        <v>757</v>
      </c>
      <c r="AQ492" t="s">
        <v>78</v>
      </c>
      <c r="AR492" t="s">
        <v>79</v>
      </c>
      <c r="AS492">
        <v>2</v>
      </c>
      <c r="AT492">
        <v>8.9300000000000004E-2</v>
      </c>
      <c r="AU492">
        <v>0.64959999999999996</v>
      </c>
      <c r="AV492">
        <v>305169.03999999998</v>
      </c>
      <c r="AW492">
        <v>17702.64</v>
      </c>
      <c r="AX492" t="b">
        <v>0</v>
      </c>
      <c r="AY492" t="b">
        <v>1</v>
      </c>
      <c r="AZ492" t="s">
        <v>361</v>
      </c>
      <c r="BA492">
        <v>0</v>
      </c>
      <c r="BB492">
        <v>0</v>
      </c>
      <c r="BC492">
        <v>0</v>
      </c>
      <c r="BD492">
        <v>0</v>
      </c>
      <c r="BE492" t="s">
        <v>108</v>
      </c>
      <c r="BF492" t="b">
        <v>0</v>
      </c>
    </row>
    <row r="493" spans="1:58" x14ac:dyDescent="0.3">
      <c r="A493" t="s">
        <v>1162</v>
      </c>
      <c r="B493" t="s">
        <v>67</v>
      </c>
      <c r="C493" t="s">
        <v>1163</v>
      </c>
      <c r="D493" t="s">
        <v>69</v>
      </c>
      <c r="E493" t="s">
        <v>70</v>
      </c>
      <c r="F493" t="s">
        <v>71</v>
      </c>
      <c r="G493" s="1">
        <v>44615</v>
      </c>
      <c r="H493" s="1">
        <v>45596</v>
      </c>
      <c r="I493" s="1">
        <v>46415</v>
      </c>
      <c r="J493">
        <v>2504500</v>
      </c>
      <c r="K493">
        <v>60</v>
      </c>
      <c r="L493">
        <v>28</v>
      </c>
      <c r="M493">
        <v>32</v>
      </c>
      <c r="N493">
        <v>8.81</v>
      </c>
      <c r="O493">
        <v>51758.66</v>
      </c>
      <c r="P493" t="s">
        <v>72</v>
      </c>
      <c r="Q493">
        <v>1095477.76</v>
      </c>
      <c r="R493">
        <v>51758.66</v>
      </c>
      <c r="S493">
        <v>19463.169999999998</v>
      </c>
      <c r="T493" s="1">
        <v>45566</v>
      </c>
      <c r="U493" t="s">
        <v>143</v>
      </c>
      <c r="V493">
        <v>54</v>
      </c>
      <c r="W493">
        <v>32</v>
      </c>
      <c r="X493">
        <v>26</v>
      </c>
      <c r="Y493">
        <v>0</v>
      </c>
      <c r="Z493">
        <v>1</v>
      </c>
      <c r="AA493">
        <v>0</v>
      </c>
      <c r="AB493" t="s">
        <v>174</v>
      </c>
      <c r="AC493" t="s">
        <v>305</v>
      </c>
      <c r="AD493">
        <v>2022</v>
      </c>
      <c r="AE493" t="s">
        <v>166</v>
      </c>
      <c r="AF493" t="b">
        <v>1</v>
      </c>
      <c r="AG493">
        <v>2743000</v>
      </c>
      <c r="AH493">
        <v>1823705.84</v>
      </c>
      <c r="AI493">
        <v>0.91310000000000002</v>
      </c>
      <c r="AJ493">
        <v>0.64829999999999999</v>
      </c>
      <c r="AK493">
        <v>44</v>
      </c>
      <c r="AL493" t="s">
        <v>132</v>
      </c>
      <c r="AM493">
        <v>2427000</v>
      </c>
      <c r="AN493">
        <v>0.25590000000000002</v>
      </c>
      <c r="AO493">
        <v>829</v>
      </c>
      <c r="AP493">
        <v>781</v>
      </c>
      <c r="AQ493" t="s">
        <v>100</v>
      </c>
      <c r="AR493" t="s">
        <v>101</v>
      </c>
      <c r="AS493">
        <v>2</v>
      </c>
      <c r="AT493">
        <v>0.13420000000000001</v>
      </c>
      <c r="AU493">
        <v>0.43209999999999998</v>
      </c>
      <c r="AV493">
        <v>1138623.04</v>
      </c>
      <c r="AW493">
        <v>66026.27</v>
      </c>
      <c r="AX493" t="b">
        <v>0</v>
      </c>
      <c r="AY493" t="b">
        <v>0</v>
      </c>
      <c r="AZ493" t="s">
        <v>80</v>
      </c>
      <c r="BA493">
        <v>0</v>
      </c>
      <c r="BB493">
        <v>0</v>
      </c>
      <c r="BC493">
        <v>0</v>
      </c>
      <c r="BD493">
        <v>0</v>
      </c>
      <c r="BE493" t="s">
        <v>108</v>
      </c>
      <c r="BF493" t="b">
        <v>0</v>
      </c>
    </row>
    <row r="494" spans="1:58" x14ac:dyDescent="0.3">
      <c r="A494" t="s">
        <v>1164</v>
      </c>
      <c r="B494" t="s">
        <v>67</v>
      </c>
      <c r="C494" t="s">
        <v>1165</v>
      </c>
      <c r="D494" t="s">
        <v>95</v>
      </c>
      <c r="E494" t="s">
        <v>96</v>
      </c>
      <c r="F494" t="s">
        <v>124</v>
      </c>
      <c r="G494" s="1">
        <v>44330</v>
      </c>
      <c r="H494" s="1">
        <v>45596</v>
      </c>
      <c r="I494" s="1">
        <v>45410</v>
      </c>
      <c r="J494">
        <v>1115700</v>
      </c>
      <c r="K494">
        <v>36</v>
      </c>
      <c r="L494">
        <v>0</v>
      </c>
      <c r="M494">
        <v>41</v>
      </c>
      <c r="N494">
        <v>11.33</v>
      </c>
      <c r="O494">
        <v>36701.19</v>
      </c>
      <c r="P494" t="s">
        <v>72</v>
      </c>
      <c r="Q494">
        <v>0</v>
      </c>
      <c r="R494">
        <v>36701.19</v>
      </c>
      <c r="S494">
        <v>35779.9</v>
      </c>
      <c r="T494" s="1">
        <v>45571</v>
      </c>
      <c r="U494" t="s">
        <v>73</v>
      </c>
      <c r="V494">
        <v>0</v>
      </c>
      <c r="W494">
        <v>41</v>
      </c>
      <c r="X494">
        <v>41</v>
      </c>
      <c r="Y494">
        <v>0</v>
      </c>
      <c r="Z494">
        <v>0</v>
      </c>
      <c r="AA494">
        <v>0</v>
      </c>
      <c r="AB494" t="s">
        <v>97</v>
      </c>
      <c r="AC494" t="s">
        <v>98</v>
      </c>
      <c r="AD494">
        <v>2021</v>
      </c>
      <c r="AE494" t="s">
        <v>90</v>
      </c>
      <c r="AF494" t="b">
        <v>1</v>
      </c>
      <c r="AG494">
        <v>1292000</v>
      </c>
      <c r="AH494">
        <v>682127.29</v>
      </c>
      <c r="AI494">
        <v>0.86360000000000003</v>
      </c>
      <c r="AJ494">
        <v>0</v>
      </c>
      <c r="AK494">
        <v>25</v>
      </c>
      <c r="AL494" t="s">
        <v>120</v>
      </c>
      <c r="AM494">
        <v>2470000</v>
      </c>
      <c r="AN494">
        <v>0.17829999999999999</v>
      </c>
      <c r="AO494">
        <v>791</v>
      </c>
      <c r="AP494">
        <v>759</v>
      </c>
      <c r="AQ494" t="s">
        <v>145</v>
      </c>
      <c r="AR494" t="s">
        <v>157</v>
      </c>
      <c r="AS494">
        <v>1</v>
      </c>
      <c r="AT494">
        <v>2.5399999999999999E-2</v>
      </c>
      <c r="AU494">
        <v>0.51380000000000003</v>
      </c>
      <c r="AV494">
        <v>0</v>
      </c>
      <c r="AW494">
        <v>0</v>
      </c>
      <c r="AX494" t="b">
        <v>0</v>
      </c>
      <c r="AY494" t="b">
        <v>0</v>
      </c>
      <c r="AZ494" t="s">
        <v>80</v>
      </c>
      <c r="BA494">
        <v>0</v>
      </c>
      <c r="BB494">
        <v>0</v>
      </c>
      <c r="BC494">
        <v>0</v>
      </c>
      <c r="BD494">
        <v>0</v>
      </c>
      <c r="BE494" t="s">
        <v>108</v>
      </c>
      <c r="BF494" t="b">
        <v>0</v>
      </c>
    </row>
    <row r="495" spans="1:58" x14ac:dyDescent="0.3">
      <c r="A495" t="s">
        <v>1166</v>
      </c>
      <c r="B495" t="s">
        <v>67</v>
      </c>
      <c r="C495" t="s">
        <v>1167</v>
      </c>
      <c r="D495" t="s">
        <v>84</v>
      </c>
      <c r="E495" t="s">
        <v>85</v>
      </c>
      <c r="F495" t="s">
        <v>115</v>
      </c>
      <c r="G495" s="1">
        <v>45322</v>
      </c>
      <c r="H495" s="1">
        <v>45596</v>
      </c>
      <c r="I495" s="1">
        <v>46402</v>
      </c>
      <c r="J495">
        <v>1960500</v>
      </c>
      <c r="K495">
        <v>36</v>
      </c>
      <c r="L495">
        <v>27</v>
      </c>
      <c r="M495">
        <v>9</v>
      </c>
      <c r="N495">
        <v>9.7899999999999991</v>
      </c>
      <c r="O495">
        <v>63066.7</v>
      </c>
      <c r="P495" t="s">
        <v>72</v>
      </c>
      <c r="Q495">
        <v>1453102.25</v>
      </c>
      <c r="R495">
        <v>63066.7</v>
      </c>
      <c r="S495">
        <v>15861.93</v>
      </c>
      <c r="T495" s="1">
        <v>45570</v>
      </c>
      <c r="U495" t="s">
        <v>380</v>
      </c>
      <c r="V495">
        <v>135</v>
      </c>
      <c r="W495">
        <v>9</v>
      </c>
      <c r="X495">
        <v>7</v>
      </c>
      <c r="Y495">
        <v>0</v>
      </c>
      <c r="Z495">
        <v>1</v>
      </c>
      <c r="AA495">
        <v>0</v>
      </c>
      <c r="AB495" t="s">
        <v>164</v>
      </c>
      <c r="AC495" t="s">
        <v>165</v>
      </c>
      <c r="AD495">
        <v>2024</v>
      </c>
      <c r="AE495" t="s">
        <v>166</v>
      </c>
      <c r="AF495" t="b">
        <v>1</v>
      </c>
      <c r="AG495">
        <v>2331000</v>
      </c>
      <c r="AH495">
        <v>2277140.33</v>
      </c>
      <c r="AI495">
        <v>0.84099999999999997</v>
      </c>
      <c r="AJ495">
        <v>0.69889999999999997</v>
      </c>
      <c r="AK495">
        <v>25</v>
      </c>
      <c r="AL495" t="s">
        <v>132</v>
      </c>
      <c r="AM495">
        <v>750000</v>
      </c>
      <c r="AN495">
        <v>1.0091000000000001</v>
      </c>
      <c r="AO495">
        <v>803</v>
      </c>
      <c r="AP495">
        <v>776</v>
      </c>
      <c r="AQ495" t="s">
        <v>145</v>
      </c>
      <c r="AR495" t="s">
        <v>182</v>
      </c>
      <c r="AS495">
        <v>3</v>
      </c>
      <c r="AT495">
        <v>0.71079999999999999</v>
      </c>
      <c r="AU495">
        <v>0.52880000000000005</v>
      </c>
      <c r="AV495">
        <v>1507790.21</v>
      </c>
      <c r="AW495">
        <v>566734.67000000004</v>
      </c>
      <c r="AX495" t="b">
        <v>1</v>
      </c>
      <c r="AY495" t="b">
        <v>0</v>
      </c>
      <c r="AZ495" t="s">
        <v>80</v>
      </c>
      <c r="BA495">
        <v>0</v>
      </c>
      <c r="BB495">
        <v>0</v>
      </c>
      <c r="BC495">
        <v>0</v>
      </c>
      <c r="BD495">
        <v>0</v>
      </c>
      <c r="BE495" t="s">
        <v>134</v>
      </c>
      <c r="BF495" t="b">
        <v>1</v>
      </c>
    </row>
    <row r="496" spans="1:58" x14ac:dyDescent="0.3">
      <c r="A496" t="s">
        <v>1168</v>
      </c>
      <c r="B496" t="s">
        <v>67</v>
      </c>
      <c r="C496" t="s">
        <v>1169</v>
      </c>
      <c r="D496" t="s">
        <v>95</v>
      </c>
      <c r="E496" t="s">
        <v>96</v>
      </c>
      <c r="F496" t="s">
        <v>124</v>
      </c>
      <c r="G496" s="1">
        <v>45523</v>
      </c>
      <c r="H496" s="1">
        <v>45596</v>
      </c>
      <c r="I496" s="1">
        <v>47683</v>
      </c>
      <c r="J496">
        <v>1364600</v>
      </c>
      <c r="K496">
        <v>72</v>
      </c>
      <c r="L496">
        <v>70</v>
      </c>
      <c r="M496">
        <v>2</v>
      </c>
      <c r="N496">
        <v>10.9</v>
      </c>
      <c r="O496">
        <v>25904.06</v>
      </c>
      <c r="P496" t="s">
        <v>72</v>
      </c>
      <c r="Q496">
        <v>1203806.3999999999</v>
      </c>
      <c r="R496">
        <v>25904.06</v>
      </c>
      <c r="S496">
        <v>26850.02</v>
      </c>
      <c r="T496" s="1">
        <v>45565</v>
      </c>
      <c r="U496" t="s">
        <v>73</v>
      </c>
      <c r="V496">
        <v>0</v>
      </c>
      <c r="W496">
        <v>2</v>
      </c>
      <c r="X496">
        <v>2</v>
      </c>
      <c r="Y496">
        <v>0</v>
      </c>
      <c r="Z496">
        <v>0</v>
      </c>
      <c r="AA496">
        <v>0</v>
      </c>
      <c r="AB496" t="s">
        <v>208</v>
      </c>
      <c r="AC496" t="s">
        <v>209</v>
      </c>
      <c r="AD496">
        <v>2024</v>
      </c>
      <c r="AE496" t="s">
        <v>119</v>
      </c>
      <c r="AF496" t="b">
        <v>1</v>
      </c>
      <c r="AG496">
        <v>1685000</v>
      </c>
      <c r="AH496">
        <v>1728849.06</v>
      </c>
      <c r="AI496">
        <v>0.80979999999999996</v>
      </c>
      <c r="AJ496">
        <v>0.73199999999999998</v>
      </c>
      <c r="AK496">
        <v>58</v>
      </c>
      <c r="AL496" t="s">
        <v>106</v>
      </c>
      <c r="AM496">
        <v>1914000</v>
      </c>
      <c r="AN496">
        <v>0.16239999999999999</v>
      </c>
      <c r="AO496">
        <v>798</v>
      </c>
      <c r="AP496">
        <v>780</v>
      </c>
      <c r="AQ496" t="s">
        <v>100</v>
      </c>
      <c r="AR496" t="s">
        <v>121</v>
      </c>
      <c r="AS496">
        <v>1</v>
      </c>
      <c r="AT496">
        <v>1.46E-2</v>
      </c>
      <c r="AU496">
        <v>0.58679999999999999</v>
      </c>
      <c r="AV496">
        <v>1219584.1399999999</v>
      </c>
      <c r="AW496">
        <v>10448.52</v>
      </c>
      <c r="AX496" t="b">
        <v>0</v>
      </c>
      <c r="AY496" t="b">
        <v>0</v>
      </c>
      <c r="AZ496" t="s">
        <v>80</v>
      </c>
      <c r="BA496">
        <v>0</v>
      </c>
      <c r="BB496">
        <v>0</v>
      </c>
      <c r="BC496">
        <v>0</v>
      </c>
      <c r="BD496">
        <v>61431.71</v>
      </c>
      <c r="BE496" t="s">
        <v>134</v>
      </c>
      <c r="BF496" t="b">
        <v>1</v>
      </c>
    </row>
    <row r="497" spans="1:58" x14ac:dyDescent="0.3">
      <c r="A497" t="s">
        <v>1170</v>
      </c>
      <c r="B497" t="s">
        <v>67</v>
      </c>
      <c r="C497" t="s">
        <v>1171</v>
      </c>
      <c r="D497" t="s">
        <v>95</v>
      </c>
      <c r="E497" t="s">
        <v>96</v>
      </c>
      <c r="F497" t="s">
        <v>86</v>
      </c>
      <c r="G497" s="1">
        <v>44893</v>
      </c>
      <c r="H497" s="1">
        <v>45596</v>
      </c>
      <c r="I497" s="1">
        <v>46333</v>
      </c>
      <c r="J497">
        <v>2694800</v>
      </c>
      <c r="K497">
        <v>48</v>
      </c>
      <c r="L497">
        <v>25</v>
      </c>
      <c r="M497">
        <v>23</v>
      </c>
      <c r="N497">
        <v>12.97</v>
      </c>
      <c r="O497">
        <v>72254.62</v>
      </c>
      <c r="P497" t="s">
        <v>72</v>
      </c>
      <c r="Q497">
        <v>1432720.87</v>
      </c>
      <c r="R497">
        <v>72254.62</v>
      </c>
      <c r="S497">
        <v>6844.78</v>
      </c>
      <c r="T497" s="1">
        <v>45587</v>
      </c>
      <c r="U497" t="s">
        <v>143</v>
      </c>
      <c r="V497">
        <v>34</v>
      </c>
      <c r="W497">
        <v>23</v>
      </c>
      <c r="X497">
        <v>19</v>
      </c>
      <c r="Y497">
        <v>0</v>
      </c>
      <c r="Z497">
        <v>0</v>
      </c>
      <c r="AA497">
        <v>0</v>
      </c>
      <c r="AB497" t="s">
        <v>97</v>
      </c>
      <c r="AC497" t="s">
        <v>98</v>
      </c>
      <c r="AD497">
        <v>2022</v>
      </c>
      <c r="AE497" t="s">
        <v>119</v>
      </c>
      <c r="AF497" t="b">
        <v>1</v>
      </c>
      <c r="AG497">
        <v>2874000</v>
      </c>
      <c r="AH497">
        <v>1995094.77</v>
      </c>
      <c r="AI497">
        <v>0.93769999999999998</v>
      </c>
      <c r="AJ497">
        <v>0.68859999999999999</v>
      </c>
      <c r="AK497">
        <v>50</v>
      </c>
      <c r="AL497" t="s">
        <v>77</v>
      </c>
      <c r="AM497">
        <v>1440000</v>
      </c>
      <c r="AN497">
        <v>0.60209999999999997</v>
      </c>
      <c r="AO497">
        <v>850</v>
      </c>
      <c r="AP497">
        <v>847</v>
      </c>
      <c r="AQ497" t="s">
        <v>91</v>
      </c>
      <c r="AR497" t="s">
        <v>192</v>
      </c>
      <c r="AS497">
        <v>2</v>
      </c>
      <c r="AT497">
        <v>0.10050000000000001</v>
      </c>
      <c r="AU497">
        <v>0.36609999999999998</v>
      </c>
      <c r="AV497">
        <v>1482493.06</v>
      </c>
      <c r="AW497">
        <v>54545.440000000002</v>
      </c>
      <c r="AX497" t="b">
        <v>0</v>
      </c>
      <c r="AY497" t="b">
        <v>0</v>
      </c>
      <c r="AZ497" t="s">
        <v>80</v>
      </c>
      <c r="BA497">
        <v>0</v>
      </c>
      <c r="BB497">
        <v>0</v>
      </c>
      <c r="BC497">
        <v>0</v>
      </c>
      <c r="BD497">
        <v>0</v>
      </c>
      <c r="BE497" t="s">
        <v>81</v>
      </c>
      <c r="BF497" t="b">
        <v>1</v>
      </c>
    </row>
    <row r="498" spans="1:58" x14ac:dyDescent="0.3">
      <c r="A498" t="s">
        <v>1172</v>
      </c>
      <c r="B498" t="s">
        <v>67</v>
      </c>
      <c r="C498" t="s">
        <v>1173</v>
      </c>
      <c r="D498" t="s">
        <v>84</v>
      </c>
      <c r="E498" t="s">
        <v>85</v>
      </c>
      <c r="F498" t="s">
        <v>115</v>
      </c>
      <c r="G498" s="1">
        <v>45122</v>
      </c>
      <c r="H498" s="1">
        <v>45596</v>
      </c>
      <c r="I498" s="1">
        <v>46922</v>
      </c>
      <c r="J498">
        <v>1060500</v>
      </c>
      <c r="K498">
        <v>60</v>
      </c>
      <c r="L498">
        <v>45</v>
      </c>
      <c r="M498">
        <v>15</v>
      </c>
      <c r="N498">
        <v>11.79</v>
      </c>
      <c r="O498">
        <v>23477.85</v>
      </c>
      <c r="P498" t="s">
        <v>72</v>
      </c>
      <c r="Q498">
        <v>762384.06</v>
      </c>
      <c r="R498">
        <v>23477.85</v>
      </c>
      <c r="S498">
        <v>2401.35</v>
      </c>
      <c r="T498" s="1">
        <v>45591</v>
      </c>
      <c r="U498" t="s">
        <v>87</v>
      </c>
      <c r="V498">
        <v>9</v>
      </c>
      <c r="W498">
        <v>15</v>
      </c>
      <c r="X498">
        <v>14</v>
      </c>
      <c r="Y498">
        <v>0</v>
      </c>
      <c r="Z498">
        <v>0</v>
      </c>
      <c r="AA498">
        <v>0</v>
      </c>
      <c r="AB498" t="s">
        <v>174</v>
      </c>
      <c r="AC498" t="s">
        <v>423</v>
      </c>
      <c r="AD498">
        <v>2023</v>
      </c>
      <c r="AE498" t="s">
        <v>166</v>
      </c>
      <c r="AF498" t="b">
        <v>1</v>
      </c>
      <c r="AG498">
        <v>1639000</v>
      </c>
      <c r="AH498">
        <v>1256053.9099999999</v>
      </c>
      <c r="AI498">
        <v>0.64700000000000002</v>
      </c>
      <c r="AJ498">
        <v>0.56730000000000003</v>
      </c>
      <c r="AK498">
        <v>28</v>
      </c>
      <c r="AL498" t="s">
        <v>77</v>
      </c>
      <c r="AM498">
        <v>1620000</v>
      </c>
      <c r="AN498">
        <v>0.1739</v>
      </c>
      <c r="AO498">
        <v>675</v>
      </c>
      <c r="AP498">
        <v>636</v>
      </c>
      <c r="AQ498" t="s">
        <v>91</v>
      </c>
      <c r="AR498" t="s">
        <v>252</v>
      </c>
      <c r="AS498">
        <v>1</v>
      </c>
      <c r="AT498">
        <v>1.5299999999999999E-2</v>
      </c>
      <c r="AU498">
        <v>0.52659999999999996</v>
      </c>
      <c r="AV498">
        <v>799816.3</v>
      </c>
      <c r="AW498">
        <v>6444.1</v>
      </c>
      <c r="AX498" t="b">
        <v>0</v>
      </c>
      <c r="AY498" t="b">
        <v>0</v>
      </c>
      <c r="AZ498" t="s">
        <v>80</v>
      </c>
      <c r="BA498">
        <v>0</v>
      </c>
      <c r="BB498">
        <v>0</v>
      </c>
      <c r="BC498">
        <v>0</v>
      </c>
      <c r="BD498">
        <v>0</v>
      </c>
      <c r="BE498" t="s">
        <v>108</v>
      </c>
      <c r="BF498" t="b">
        <v>1</v>
      </c>
    </row>
    <row r="499" spans="1:58" x14ac:dyDescent="0.3">
      <c r="A499" t="s">
        <v>1174</v>
      </c>
      <c r="B499" t="s">
        <v>67</v>
      </c>
      <c r="C499" t="s">
        <v>1175</v>
      </c>
      <c r="D499" t="s">
        <v>95</v>
      </c>
      <c r="E499" t="s">
        <v>96</v>
      </c>
      <c r="F499" t="s">
        <v>124</v>
      </c>
      <c r="G499" s="1">
        <v>45416</v>
      </c>
      <c r="H499" s="1">
        <v>45596</v>
      </c>
      <c r="I499" s="1">
        <v>46856</v>
      </c>
      <c r="J499">
        <v>793700</v>
      </c>
      <c r="K499">
        <v>48</v>
      </c>
      <c r="L499">
        <v>43</v>
      </c>
      <c r="M499">
        <v>5</v>
      </c>
      <c r="N499">
        <v>14.46</v>
      </c>
      <c r="O499">
        <v>21872.61</v>
      </c>
      <c r="P499" t="s">
        <v>72</v>
      </c>
      <c r="Q499">
        <v>683493.75</v>
      </c>
      <c r="R499">
        <v>21872.61</v>
      </c>
      <c r="S499">
        <v>21148.2</v>
      </c>
      <c r="T499" s="1">
        <v>45580</v>
      </c>
      <c r="U499" t="s">
        <v>73</v>
      </c>
      <c r="V499">
        <v>0</v>
      </c>
      <c r="W499">
        <v>5</v>
      </c>
      <c r="X499">
        <v>5</v>
      </c>
      <c r="Y499">
        <v>0</v>
      </c>
      <c r="Z499">
        <v>0</v>
      </c>
      <c r="AA499">
        <v>0</v>
      </c>
      <c r="AB499" t="s">
        <v>111</v>
      </c>
      <c r="AC499" t="s">
        <v>197</v>
      </c>
      <c r="AD499">
        <v>2024</v>
      </c>
      <c r="AE499" t="s">
        <v>99</v>
      </c>
      <c r="AF499" t="b">
        <v>1</v>
      </c>
      <c r="AG499">
        <v>1141000</v>
      </c>
      <c r="AH499">
        <v>1168637.01</v>
      </c>
      <c r="AI499">
        <v>0.6956</v>
      </c>
      <c r="AJ499">
        <v>0.63729999999999998</v>
      </c>
      <c r="AK499">
        <v>32</v>
      </c>
      <c r="AL499" t="s">
        <v>120</v>
      </c>
      <c r="AM499">
        <v>658000</v>
      </c>
      <c r="AN499">
        <v>0.39889999999999998</v>
      </c>
      <c r="AO499">
        <v>836</v>
      </c>
      <c r="AP499">
        <v>800</v>
      </c>
      <c r="AQ499" t="s">
        <v>100</v>
      </c>
      <c r="AR499" t="s">
        <v>121</v>
      </c>
      <c r="AS499">
        <v>1</v>
      </c>
      <c r="AT499">
        <v>2.4400000000000002E-2</v>
      </c>
      <c r="AU499">
        <v>0.50970000000000004</v>
      </c>
      <c r="AV499">
        <v>699255.26</v>
      </c>
      <c r="AW499">
        <v>8696.41</v>
      </c>
      <c r="AX499" t="b">
        <v>0</v>
      </c>
      <c r="AY499" t="b">
        <v>0</v>
      </c>
      <c r="AZ499" t="s">
        <v>80</v>
      </c>
      <c r="BA499">
        <v>0</v>
      </c>
      <c r="BB499">
        <v>0</v>
      </c>
      <c r="BC499">
        <v>0</v>
      </c>
      <c r="BD499">
        <v>0</v>
      </c>
      <c r="BE499" t="s">
        <v>108</v>
      </c>
      <c r="BF499" t="b">
        <v>0</v>
      </c>
    </row>
    <row r="500" spans="1:58" x14ac:dyDescent="0.3">
      <c r="A500" t="s">
        <v>1176</v>
      </c>
      <c r="B500" t="s">
        <v>67</v>
      </c>
      <c r="C500" t="s">
        <v>1177</v>
      </c>
      <c r="D500" t="s">
        <v>84</v>
      </c>
      <c r="E500" t="s">
        <v>85</v>
      </c>
      <c r="F500" t="s">
        <v>124</v>
      </c>
      <c r="G500" s="1">
        <v>44555</v>
      </c>
      <c r="H500" s="1">
        <v>45596</v>
      </c>
      <c r="I500" s="1">
        <v>45635</v>
      </c>
      <c r="J500">
        <v>723800</v>
      </c>
      <c r="K500">
        <v>36</v>
      </c>
      <c r="L500">
        <v>2</v>
      </c>
      <c r="M500">
        <v>34</v>
      </c>
      <c r="N500">
        <v>7.72</v>
      </c>
      <c r="O500">
        <v>22587.88</v>
      </c>
      <c r="P500" t="s">
        <v>139</v>
      </c>
      <c r="Q500">
        <v>41887.35</v>
      </c>
      <c r="R500">
        <v>22587.88</v>
      </c>
      <c r="S500">
        <v>23184.560000000001</v>
      </c>
      <c r="T500" s="1">
        <v>45581</v>
      </c>
      <c r="U500" t="s">
        <v>73</v>
      </c>
      <c r="V500">
        <v>0</v>
      </c>
      <c r="W500">
        <v>34</v>
      </c>
      <c r="X500">
        <v>34</v>
      </c>
      <c r="Y500">
        <v>0</v>
      </c>
      <c r="Z500">
        <v>0</v>
      </c>
      <c r="AA500">
        <v>0</v>
      </c>
      <c r="AB500" t="s">
        <v>88</v>
      </c>
      <c r="AC500" t="s">
        <v>89</v>
      </c>
      <c r="AD500">
        <v>2016</v>
      </c>
      <c r="AE500" t="s">
        <v>76</v>
      </c>
      <c r="AF500" t="b">
        <v>0</v>
      </c>
      <c r="AG500">
        <v>996000</v>
      </c>
      <c r="AH500">
        <v>609030.66</v>
      </c>
      <c r="AI500">
        <v>0.72670000000000001</v>
      </c>
      <c r="AJ500">
        <v>7.0999999999999994E-2</v>
      </c>
      <c r="AK500">
        <v>43</v>
      </c>
      <c r="AL500" t="s">
        <v>106</v>
      </c>
      <c r="AM500">
        <v>2656000</v>
      </c>
      <c r="AN500">
        <v>0.1021</v>
      </c>
      <c r="AO500">
        <v>839</v>
      </c>
      <c r="AP500">
        <v>807</v>
      </c>
      <c r="AQ500" t="s">
        <v>100</v>
      </c>
      <c r="AR500" t="s">
        <v>121</v>
      </c>
      <c r="AS500">
        <v>1</v>
      </c>
      <c r="AT500">
        <v>2.2200000000000001E-2</v>
      </c>
      <c r="AU500">
        <v>0.53620000000000001</v>
      </c>
      <c r="AV500">
        <v>43595.51</v>
      </c>
      <c r="AW500">
        <v>518.95000000000005</v>
      </c>
      <c r="AX500" t="b">
        <v>0</v>
      </c>
      <c r="AY500" t="b">
        <v>0</v>
      </c>
      <c r="AZ500" t="s">
        <v>80</v>
      </c>
      <c r="BA500">
        <v>0</v>
      </c>
      <c r="BB500">
        <v>0</v>
      </c>
      <c r="BC500">
        <v>0</v>
      </c>
      <c r="BD500">
        <v>0</v>
      </c>
      <c r="BE500" t="s">
        <v>134</v>
      </c>
      <c r="BF500" t="b">
        <v>1</v>
      </c>
    </row>
    <row r="501" spans="1:58" x14ac:dyDescent="0.3">
      <c r="A501" t="s">
        <v>1178</v>
      </c>
      <c r="B501" t="s">
        <v>67</v>
      </c>
      <c r="C501" t="s">
        <v>1179</v>
      </c>
      <c r="D501" t="s">
        <v>84</v>
      </c>
      <c r="E501" t="s">
        <v>85</v>
      </c>
      <c r="F501" t="s">
        <v>71</v>
      </c>
      <c r="G501" s="1">
        <v>45518</v>
      </c>
      <c r="H501" s="1">
        <v>45596</v>
      </c>
      <c r="I501" s="1">
        <v>47678</v>
      </c>
      <c r="J501">
        <v>1441600</v>
      </c>
      <c r="K501">
        <v>72</v>
      </c>
      <c r="L501">
        <v>70</v>
      </c>
      <c r="M501">
        <v>2</v>
      </c>
      <c r="N501">
        <v>12.3</v>
      </c>
      <c r="O501">
        <v>28408.959999999999</v>
      </c>
      <c r="P501" t="s">
        <v>72</v>
      </c>
      <c r="Q501">
        <v>1433717.28</v>
      </c>
      <c r="R501">
        <v>28408.959999999999</v>
      </c>
      <c r="S501">
        <v>19496.240000000002</v>
      </c>
      <c r="T501" s="1">
        <v>45590</v>
      </c>
      <c r="U501" t="s">
        <v>87</v>
      </c>
      <c r="V501">
        <v>9</v>
      </c>
      <c r="W501">
        <v>2</v>
      </c>
      <c r="X501">
        <v>1</v>
      </c>
      <c r="Y501">
        <v>1</v>
      </c>
      <c r="Z501">
        <v>0</v>
      </c>
      <c r="AA501">
        <v>0</v>
      </c>
      <c r="AB501" t="s">
        <v>208</v>
      </c>
      <c r="AC501" t="s">
        <v>636</v>
      </c>
      <c r="AD501">
        <v>2024</v>
      </c>
      <c r="AE501" t="s">
        <v>76</v>
      </c>
      <c r="AF501" t="b">
        <v>1</v>
      </c>
      <c r="AG501">
        <v>1815000</v>
      </c>
      <c r="AH501">
        <v>1776648.82</v>
      </c>
      <c r="AI501">
        <v>0.79430000000000001</v>
      </c>
      <c r="AJ501">
        <v>0.80940000000000001</v>
      </c>
      <c r="AK501">
        <v>44</v>
      </c>
      <c r="AL501" t="s">
        <v>132</v>
      </c>
      <c r="AM501">
        <v>558000</v>
      </c>
      <c r="AN501">
        <v>0.6109</v>
      </c>
      <c r="AO501">
        <v>667</v>
      </c>
      <c r="AP501">
        <v>694</v>
      </c>
      <c r="AQ501" t="s">
        <v>127</v>
      </c>
      <c r="AR501" t="s">
        <v>153</v>
      </c>
      <c r="AS501">
        <v>1</v>
      </c>
      <c r="AT501">
        <v>1.72E-2</v>
      </c>
      <c r="AU501">
        <v>0.61809999999999998</v>
      </c>
      <c r="AV501">
        <v>1457447.03</v>
      </c>
      <c r="AW501">
        <v>15494.59</v>
      </c>
      <c r="AX501" t="b">
        <v>0</v>
      </c>
      <c r="AY501" t="b">
        <v>0</v>
      </c>
      <c r="AZ501" t="s">
        <v>80</v>
      </c>
      <c r="BA501">
        <v>0</v>
      </c>
      <c r="BB501">
        <v>0</v>
      </c>
      <c r="BC501">
        <v>0</v>
      </c>
      <c r="BD501">
        <v>0</v>
      </c>
      <c r="BE501" t="s">
        <v>81</v>
      </c>
      <c r="BF501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52F7-1129-45CF-BAA9-39CE4BEA6307}">
  <dimension ref="A1:H503"/>
  <sheetViews>
    <sheetView tabSelected="1" workbookViewId="0">
      <selection activeCell="H5" sqref="H5"/>
    </sheetView>
  </sheetViews>
  <sheetFormatPr defaultRowHeight="14.4" x14ac:dyDescent="0.3"/>
  <cols>
    <col min="1" max="1" width="20" bestFit="1" customWidth="1"/>
    <col min="2" max="2" width="9.33203125" bestFit="1" customWidth="1"/>
    <col min="3" max="3" width="3.21875" bestFit="1" customWidth="1"/>
    <col min="4" max="4" width="4.33203125" bestFit="1" customWidth="1"/>
    <col min="5" max="5" width="9" bestFit="1" customWidth="1"/>
    <col min="6" max="6" width="13.5546875" bestFit="1" customWidth="1"/>
    <col min="7" max="7" width="11.77734375" bestFit="1" customWidth="1"/>
    <col min="8" max="8" width="9.5546875" bestFit="1" customWidth="1"/>
  </cols>
  <sheetData>
    <row r="1" spans="1:8" x14ac:dyDescent="0.3">
      <c r="A1" t="s">
        <v>0</v>
      </c>
    </row>
    <row r="3" spans="1:8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3">
      <c r="A4" s="2" t="str" cm="1">
        <f t="array" ref="A4:A503">auto_loan_securitisation_data[LoanID]</f>
        <v>ZAAUTO2024-1-00001</v>
      </c>
      <c r="B4" cm="1">
        <f t="array" ref="B4:B503">auto_loan_securitisation_data[IFRS9_Stage]</f>
        <v>1</v>
      </c>
      <c r="C4" cm="1">
        <f t="array" ref="C4:C503">auto_loan_securitisation_data[PD_Estimate]</f>
        <v>2.24E-2</v>
      </c>
      <c r="D4" cm="1">
        <f t="array" ref="D4:D503">auto_loan_securitisation_data[LGD_Estimate]</f>
        <v>0.4521</v>
      </c>
      <c r="E4" cm="1">
        <f t="array" ref="E4:E503">auto_loan_securitisation_data[EAD]</f>
        <v>741356.86</v>
      </c>
      <c r="F4">
        <f>MAX(0, C4*D4*E4)</f>
        <v>7507.7505754944004</v>
      </c>
      <c r="G4" cm="1">
        <f t="array" ref="G4:G503">auto_loan_securitisation_data[ECL_Provision]</f>
        <v>7507.75</v>
      </c>
      <c r="H4">
        <f>F4-G4</f>
        <v>5.7549440043658251E-4</v>
      </c>
    </row>
    <row r="5" spans="1:8" x14ac:dyDescent="0.3">
      <c r="A5" t="str">
        <v>ZAAUTO2024-1-00002</v>
      </c>
      <c r="B5">
        <v>1</v>
      </c>
      <c r="C5">
        <v>2.24E-2</v>
      </c>
      <c r="D5">
        <v>0.55510000000000004</v>
      </c>
      <c r="E5">
        <v>683790.85</v>
      </c>
      <c r="F5">
        <f t="shared" ref="F5:F68" si="0">MAX(0, C5*D5*E5)</f>
        <v>8502.4195387039999</v>
      </c>
      <c r="G5">
        <v>8502.42</v>
      </c>
      <c r="H5">
        <f t="shared" ref="H5:H68" si="1">F5-G5</f>
        <v>-4.6129600013955496E-4</v>
      </c>
    </row>
    <row r="6" spans="1:8" x14ac:dyDescent="0.3">
      <c r="A6" t="str">
        <v>ZAAUTO2024-1-00003</v>
      </c>
      <c r="B6">
        <v>1</v>
      </c>
      <c r="C6">
        <v>1.66E-2</v>
      </c>
      <c r="D6">
        <v>0.64929999999999999</v>
      </c>
      <c r="E6">
        <v>300458.28000000003</v>
      </c>
      <c r="F6">
        <f t="shared" si="0"/>
        <v>3238.4535159864004</v>
      </c>
      <c r="G6">
        <v>3238.45</v>
      </c>
      <c r="H6">
        <f t="shared" si="1"/>
        <v>3.5159864005436248E-3</v>
      </c>
    </row>
    <row r="7" spans="1:8" x14ac:dyDescent="0.3">
      <c r="A7" t="str">
        <v>ZAAUTO2024-1-00004</v>
      </c>
      <c r="B7">
        <v>1</v>
      </c>
      <c r="C7">
        <v>2.41E-2</v>
      </c>
      <c r="D7">
        <v>0.50229999999999997</v>
      </c>
      <c r="E7">
        <v>1024346.59</v>
      </c>
      <c r="F7">
        <f t="shared" si="0"/>
        <v>12400.155940983697</v>
      </c>
      <c r="G7">
        <v>12400.16</v>
      </c>
      <c r="H7">
        <f t="shared" si="1"/>
        <v>-4.059016302562668E-3</v>
      </c>
    </row>
    <row r="8" spans="1:8" x14ac:dyDescent="0.3">
      <c r="A8" t="str">
        <v>ZAAUTO2024-1-00005</v>
      </c>
      <c r="B8">
        <v>1</v>
      </c>
      <c r="C8">
        <v>1.9300000000000001E-2</v>
      </c>
      <c r="D8">
        <v>0.50529999999999997</v>
      </c>
      <c r="E8">
        <v>0</v>
      </c>
      <c r="F8">
        <f t="shared" si="0"/>
        <v>0</v>
      </c>
      <c r="G8">
        <v>0</v>
      </c>
      <c r="H8">
        <f t="shared" si="1"/>
        <v>0</v>
      </c>
    </row>
    <row r="9" spans="1:8" x14ac:dyDescent="0.3">
      <c r="A9" t="str">
        <v>ZAAUTO2024-1-00006</v>
      </c>
      <c r="B9">
        <v>1</v>
      </c>
      <c r="C9">
        <v>1.47E-2</v>
      </c>
      <c r="D9">
        <v>0.56850000000000001</v>
      </c>
      <c r="E9">
        <v>490997.99</v>
      </c>
      <c r="F9">
        <f t="shared" si="0"/>
        <v>4103.2456525304997</v>
      </c>
      <c r="G9">
        <v>4103.25</v>
      </c>
      <c r="H9">
        <f t="shared" si="1"/>
        <v>-4.3474695003169472E-3</v>
      </c>
    </row>
    <row r="10" spans="1:8" x14ac:dyDescent="0.3">
      <c r="A10" t="str">
        <v>ZAAUTO2024-1-00007</v>
      </c>
      <c r="B10">
        <v>1</v>
      </c>
      <c r="C10">
        <v>1.5900000000000001E-2</v>
      </c>
      <c r="D10">
        <v>0.439</v>
      </c>
      <c r="E10">
        <v>611192.31000000006</v>
      </c>
      <c r="F10">
        <f t="shared" si="0"/>
        <v>4266.1834430310009</v>
      </c>
      <c r="G10">
        <v>4266.18</v>
      </c>
      <c r="H10">
        <f t="shared" si="1"/>
        <v>3.4430310006428044E-3</v>
      </c>
    </row>
    <row r="11" spans="1:8" x14ac:dyDescent="0.3">
      <c r="A11" t="str">
        <v>ZAAUTO2024-1-00008</v>
      </c>
      <c r="B11">
        <v>2</v>
      </c>
      <c r="C11">
        <v>0.11700000000000001</v>
      </c>
      <c r="D11">
        <v>0.64949999999999997</v>
      </c>
      <c r="E11">
        <v>315288.3</v>
      </c>
      <c r="F11">
        <f t="shared" si="0"/>
        <v>23959.230849449999</v>
      </c>
      <c r="G11">
        <v>23959.23</v>
      </c>
      <c r="H11">
        <f t="shared" si="1"/>
        <v>8.4944999980507419E-4</v>
      </c>
    </row>
    <row r="12" spans="1:8" x14ac:dyDescent="0.3">
      <c r="A12" t="str">
        <v>ZAAUTO2024-1-00009</v>
      </c>
      <c r="B12">
        <v>1</v>
      </c>
      <c r="C12">
        <v>2.1600000000000001E-2</v>
      </c>
      <c r="D12">
        <v>0.5988</v>
      </c>
      <c r="E12">
        <v>805215.48</v>
      </c>
      <c r="F12">
        <f t="shared" si="0"/>
        <v>10414.7214355584</v>
      </c>
      <c r="G12">
        <v>10414.719999999999</v>
      </c>
      <c r="H12">
        <f t="shared" si="1"/>
        <v>1.4355584007716971E-3</v>
      </c>
    </row>
    <row r="13" spans="1:8" x14ac:dyDescent="0.3">
      <c r="A13" t="str">
        <v>ZAAUTO2024-1-00010</v>
      </c>
      <c r="B13">
        <v>3</v>
      </c>
      <c r="C13">
        <v>1</v>
      </c>
      <c r="D13">
        <v>0.60919999999999996</v>
      </c>
      <c r="E13">
        <v>230067.02</v>
      </c>
      <c r="F13">
        <f t="shared" si="0"/>
        <v>140156.82858399997</v>
      </c>
      <c r="G13">
        <v>140156.82999999999</v>
      </c>
      <c r="H13">
        <f t="shared" si="1"/>
        <v>-1.416000013705343E-3</v>
      </c>
    </row>
    <row r="14" spans="1:8" x14ac:dyDescent="0.3">
      <c r="A14" t="str">
        <v>ZAAUTO2024-1-00011</v>
      </c>
      <c r="B14">
        <v>2</v>
      </c>
      <c r="C14">
        <v>0.11169999999999999</v>
      </c>
      <c r="D14">
        <v>0.52300000000000002</v>
      </c>
      <c r="E14">
        <v>461015.87</v>
      </c>
      <c r="F14">
        <f t="shared" si="0"/>
        <v>26932.132211117001</v>
      </c>
      <c r="G14">
        <v>26932.13</v>
      </c>
      <c r="H14">
        <f t="shared" si="1"/>
        <v>2.2111170001153369E-3</v>
      </c>
    </row>
    <row r="15" spans="1:8" x14ac:dyDescent="0.3">
      <c r="A15" t="str">
        <v>ZAAUTO2024-1-00012</v>
      </c>
      <c r="B15">
        <v>1</v>
      </c>
      <c r="C15">
        <v>1.9599999999999999E-2</v>
      </c>
      <c r="D15">
        <v>0.48259999999999997</v>
      </c>
      <c r="E15">
        <v>206002.75</v>
      </c>
      <c r="F15">
        <f t="shared" si="0"/>
        <v>1948.5717721399997</v>
      </c>
      <c r="G15">
        <v>1948.57</v>
      </c>
      <c r="H15">
        <f t="shared" si="1"/>
        <v>1.7721399997299159E-3</v>
      </c>
    </row>
    <row r="16" spans="1:8" x14ac:dyDescent="0.3">
      <c r="A16" t="str">
        <v>ZAAUTO2024-1-00013</v>
      </c>
      <c r="B16">
        <v>1</v>
      </c>
      <c r="C16">
        <v>1.46E-2</v>
      </c>
      <c r="D16">
        <v>0.42480000000000001</v>
      </c>
      <c r="E16">
        <v>324218.93</v>
      </c>
      <c r="F16">
        <f t="shared" si="0"/>
        <v>2010.8317413744001</v>
      </c>
      <c r="G16">
        <v>2010.83</v>
      </c>
      <c r="H16">
        <f t="shared" si="1"/>
        <v>1.7413744001260056E-3</v>
      </c>
    </row>
    <row r="17" spans="1:8" x14ac:dyDescent="0.3">
      <c r="A17" t="str">
        <v>ZAAUTO2024-1-00014</v>
      </c>
      <c r="B17">
        <v>1</v>
      </c>
      <c r="C17">
        <v>2.2499999999999999E-2</v>
      </c>
      <c r="D17">
        <v>0.36930000000000002</v>
      </c>
      <c r="E17">
        <v>627656.76</v>
      </c>
      <c r="F17">
        <f t="shared" si="0"/>
        <v>5215.3569330300006</v>
      </c>
      <c r="G17">
        <v>5215.3599999999997</v>
      </c>
      <c r="H17">
        <f t="shared" si="1"/>
        <v>-3.0669699990539812E-3</v>
      </c>
    </row>
    <row r="18" spans="1:8" x14ac:dyDescent="0.3">
      <c r="A18" t="str">
        <v>ZAAUTO2024-1-00015</v>
      </c>
      <c r="B18">
        <v>1</v>
      </c>
      <c r="C18">
        <v>2.4899999999999999E-2</v>
      </c>
      <c r="D18">
        <v>0.52759999999999996</v>
      </c>
      <c r="E18">
        <v>1131595.97</v>
      </c>
      <c r="F18">
        <f t="shared" si="0"/>
        <v>14866.047840922798</v>
      </c>
      <c r="G18">
        <v>14866.05</v>
      </c>
      <c r="H18">
        <f t="shared" si="1"/>
        <v>-2.159077201213222E-3</v>
      </c>
    </row>
    <row r="19" spans="1:8" x14ac:dyDescent="0.3">
      <c r="A19" t="str">
        <v>ZAAUTO2024-1-00016</v>
      </c>
      <c r="B19">
        <v>3</v>
      </c>
      <c r="C19">
        <v>0.68059999999999998</v>
      </c>
      <c r="D19">
        <v>0.53220000000000001</v>
      </c>
      <c r="E19">
        <v>779822.13</v>
      </c>
      <c r="F19">
        <f t="shared" si="0"/>
        <v>282463.52236103162</v>
      </c>
      <c r="G19">
        <v>282463.52</v>
      </c>
      <c r="H19">
        <f t="shared" si="1"/>
        <v>2.3610315984115005E-3</v>
      </c>
    </row>
    <row r="20" spans="1:8" x14ac:dyDescent="0.3">
      <c r="A20" t="str">
        <v>ZAAUTO2024-1-00017</v>
      </c>
      <c r="B20">
        <v>1</v>
      </c>
      <c r="C20">
        <v>2.2499999999999999E-2</v>
      </c>
      <c r="D20">
        <v>0.48060000000000003</v>
      </c>
      <c r="E20">
        <v>312941.81</v>
      </c>
      <c r="F20">
        <f t="shared" si="0"/>
        <v>3383.9962624350001</v>
      </c>
      <c r="G20">
        <v>3384</v>
      </c>
      <c r="H20">
        <f t="shared" si="1"/>
        <v>-3.7375649999376037E-3</v>
      </c>
    </row>
    <row r="21" spans="1:8" x14ac:dyDescent="0.3">
      <c r="A21" t="str">
        <v>ZAAUTO2024-1-00018</v>
      </c>
      <c r="B21">
        <v>1</v>
      </c>
      <c r="C21">
        <v>1.6899999999999998E-2</v>
      </c>
      <c r="D21">
        <v>0.47189999999999999</v>
      </c>
      <c r="E21">
        <v>419147.19</v>
      </c>
      <c r="F21">
        <f t="shared" si="0"/>
        <v>3342.7449464408996</v>
      </c>
      <c r="G21">
        <v>3342.74</v>
      </c>
      <c r="H21">
        <f t="shared" si="1"/>
        <v>4.9464408998574072E-3</v>
      </c>
    </row>
    <row r="22" spans="1:8" x14ac:dyDescent="0.3">
      <c r="A22" t="str">
        <v>ZAAUTO2024-1-00019</v>
      </c>
      <c r="B22">
        <v>1</v>
      </c>
      <c r="C22">
        <v>2.58E-2</v>
      </c>
      <c r="D22">
        <v>0.5998</v>
      </c>
      <c r="E22">
        <v>435673.85</v>
      </c>
      <c r="F22">
        <f t="shared" si="0"/>
        <v>6741.983120934</v>
      </c>
      <c r="G22">
        <v>6741.98</v>
      </c>
      <c r="H22">
        <f t="shared" si="1"/>
        <v>3.1209340004352271E-3</v>
      </c>
    </row>
    <row r="23" spans="1:8" x14ac:dyDescent="0.3">
      <c r="A23" t="str">
        <v>ZAAUTO2024-1-00020</v>
      </c>
      <c r="B23">
        <v>1</v>
      </c>
      <c r="C23">
        <v>2.5899999999999999E-2</v>
      </c>
      <c r="D23">
        <v>0.38550000000000001</v>
      </c>
      <c r="E23">
        <v>0</v>
      </c>
      <c r="F23">
        <f t="shared" si="0"/>
        <v>0</v>
      </c>
      <c r="G23">
        <v>0</v>
      </c>
      <c r="H23">
        <f t="shared" si="1"/>
        <v>0</v>
      </c>
    </row>
    <row r="24" spans="1:8" x14ac:dyDescent="0.3">
      <c r="A24" t="str">
        <v>ZAAUTO2024-1-00021</v>
      </c>
      <c r="B24">
        <v>1</v>
      </c>
      <c r="C24">
        <v>2.2200000000000001E-2</v>
      </c>
      <c r="D24">
        <v>0.62719999999999998</v>
      </c>
      <c r="E24">
        <v>779763.04</v>
      </c>
      <c r="F24">
        <f t="shared" si="0"/>
        <v>10857.295806873601</v>
      </c>
      <c r="G24">
        <v>10857.3</v>
      </c>
      <c r="H24">
        <f t="shared" si="1"/>
        <v>-4.1931263986043632E-3</v>
      </c>
    </row>
    <row r="25" spans="1:8" x14ac:dyDescent="0.3">
      <c r="A25" t="str">
        <v>ZAAUTO2024-1-00022</v>
      </c>
      <c r="B25">
        <v>1</v>
      </c>
      <c r="C25">
        <v>2.0899999999999998E-2</v>
      </c>
      <c r="D25">
        <v>0.57889999999999997</v>
      </c>
      <c r="E25">
        <v>43969.35</v>
      </c>
      <c r="F25">
        <f t="shared" si="0"/>
        <v>531.98560534349997</v>
      </c>
      <c r="G25">
        <v>531.99</v>
      </c>
      <c r="H25">
        <f t="shared" si="1"/>
        <v>-4.3946565000396731E-3</v>
      </c>
    </row>
    <row r="26" spans="1:8" x14ac:dyDescent="0.3">
      <c r="A26" t="str">
        <v>ZAAUTO2024-1-00023</v>
      </c>
      <c r="B26">
        <v>1</v>
      </c>
      <c r="C26">
        <v>2.3099999999999999E-2</v>
      </c>
      <c r="D26">
        <v>0.41110000000000002</v>
      </c>
      <c r="E26">
        <v>821068.97</v>
      </c>
      <c r="F26">
        <f t="shared" si="0"/>
        <v>7797.2075773977003</v>
      </c>
      <c r="G26">
        <v>7797.21</v>
      </c>
      <c r="H26">
        <f t="shared" si="1"/>
        <v>-2.422602299702703E-3</v>
      </c>
    </row>
    <row r="27" spans="1:8" x14ac:dyDescent="0.3">
      <c r="A27" t="str">
        <v>ZAAUTO2024-1-00024</v>
      </c>
      <c r="B27">
        <v>1</v>
      </c>
      <c r="C27">
        <v>1.8100000000000002E-2</v>
      </c>
      <c r="D27">
        <v>0.58630000000000004</v>
      </c>
      <c r="E27">
        <v>414857.35</v>
      </c>
      <c r="F27">
        <f t="shared" si="0"/>
        <v>4402.4786439205</v>
      </c>
      <c r="G27">
        <v>4402.4799999999996</v>
      </c>
      <c r="H27">
        <f t="shared" si="1"/>
        <v>-1.3560794996010372E-3</v>
      </c>
    </row>
    <row r="28" spans="1:8" x14ac:dyDescent="0.3">
      <c r="A28" t="str">
        <v>ZAAUTO2024-1-00025</v>
      </c>
      <c r="B28">
        <v>1</v>
      </c>
      <c r="C28">
        <v>2.4400000000000002E-2</v>
      </c>
      <c r="D28">
        <v>0.61229999999999996</v>
      </c>
      <c r="E28">
        <v>904239.11</v>
      </c>
      <c r="F28">
        <f t="shared" si="0"/>
        <v>13509.440812093198</v>
      </c>
      <c r="G28">
        <v>13509.44</v>
      </c>
      <c r="H28">
        <f t="shared" si="1"/>
        <v>8.1209319796471391E-4</v>
      </c>
    </row>
    <row r="29" spans="1:8" x14ac:dyDescent="0.3">
      <c r="A29" t="str">
        <v>ZAAUTO2024-1-00026</v>
      </c>
      <c r="B29">
        <v>1</v>
      </c>
      <c r="C29">
        <v>1.46E-2</v>
      </c>
      <c r="D29">
        <v>0.58879999999999999</v>
      </c>
      <c r="E29">
        <v>1721697.95</v>
      </c>
      <c r="F29">
        <f t="shared" si="0"/>
        <v>14800.541993216</v>
      </c>
      <c r="G29">
        <v>14800.54</v>
      </c>
      <c r="H29">
        <f t="shared" si="1"/>
        <v>1.9932159993913956E-3</v>
      </c>
    </row>
    <row r="30" spans="1:8" x14ac:dyDescent="0.3">
      <c r="A30" t="str">
        <v>ZAAUTO2024-1-00027</v>
      </c>
      <c r="B30">
        <v>1</v>
      </c>
      <c r="C30">
        <v>2.4199999999999999E-2</v>
      </c>
      <c r="D30">
        <v>0.38200000000000001</v>
      </c>
      <c r="E30">
        <v>166166.01999999999</v>
      </c>
      <c r="F30">
        <f t="shared" si="0"/>
        <v>1536.1051552879999</v>
      </c>
      <c r="G30">
        <v>1536.11</v>
      </c>
      <c r="H30">
        <f t="shared" si="1"/>
        <v>-4.8447120000219002E-3</v>
      </c>
    </row>
    <row r="31" spans="1:8" x14ac:dyDescent="0.3">
      <c r="A31" t="str">
        <v>ZAAUTO2024-1-00028</v>
      </c>
      <c r="B31">
        <v>1</v>
      </c>
      <c r="C31">
        <v>2.0400000000000001E-2</v>
      </c>
      <c r="D31">
        <v>0.624</v>
      </c>
      <c r="E31">
        <v>1683043.07</v>
      </c>
      <c r="F31">
        <f t="shared" si="0"/>
        <v>21424.465063872001</v>
      </c>
      <c r="G31">
        <v>21424.47</v>
      </c>
      <c r="H31">
        <f t="shared" si="1"/>
        <v>-4.9361279998265672E-3</v>
      </c>
    </row>
    <row r="32" spans="1:8" x14ac:dyDescent="0.3">
      <c r="A32" t="str">
        <v>ZAAUTO2024-1-00029</v>
      </c>
      <c r="B32">
        <v>1</v>
      </c>
      <c r="C32">
        <v>2.1399999999999999E-2</v>
      </c>
      <c r="D32">
        <v>0.63300000000000001</v>
      </c>
      <c r="E32">
        <v>793857.01</v>
      </c>
      <c r="F32">
        <f t="shared" si="0"/>
        <v>10753.745828862</v>
      </c>
      <c r="G32">
        <v>10753.75</v>
      </c>
      <c r="H32">
        <f t="shared" si="1"/>
        <v>-4.17113799994695E-3</v>
      </c>
    </row>
    <row r="33" spans="1:8" x14ac:dyDescent="0.3">
      <c r="A33" t="str">
        <v>ZAAUTO2024-1-00030</v>
      </c>
      <c r="B33">
        <v>1</v>
      </c>
      <c r="C33">
        <v>1.52E-2</v>
      </c>
      <c r="D33">
        <v>0.55569999999999997</v>
      </c>
      <c r="E33">
        <v>440243.38</v>
      </c>
      <c r="F33">
        <f t="shared" si="0"/>
        <v>3718.5773432432002</v>
      </c>
      <c r="G33">
        <v>3718.58</v>
      </c>
      <c r="H33">
        <f t="shared" si="1"/>
        <v>-2.6567567997517472E-3</v>
      </c>
    </row>
    <row r="34" spans="1:8" x14ac:dyDescent="0.3">
      <c r="A34" t="str">
        <v>ZAAUTO2024-1-00031</v>
      </c>
      <c r="B34">
        <v>1</v>
      </c>
      <c r="C34">
        <v>2.1899999999999999E-2</v>
      </c>
      <c r="D34">
        <v>0.35770000000000002</v>
      </c>
      <c r="E34">
        <v>753197.89</v>
      </c>
      <c r="F34">
        <f t="shared" si="0"/>
        <v>5900.2735870406996</v>
      </c>
      <c r="G34">
        <v>5900.27</v>
      </c>
      <c r="H34">
        <f t="shared" si="1"/>
        <v>3.5870406991307391E-3</v>
      </c>
    </row>
    <row r="35" spans="1:8" x14ac:dyDescent="0.3">
      <c r="A35" t="str">
        <v>ZAAUTO2024-1-00032</v>
      </c>
      <c r="B35">
        <v>1</v>
      </c>
      <c r="C35">
        <v>1.7299999999999999E-2</v>
      </c>
      <c r="D35">
        <v>0.53990000000000005</v>
      </c>
      <c r="E35">
        <v>1167789.76</v>
      </c>
      <c r="F35">
        <f t="shared" si="0"/>
        <v>10907.471661635202</v>
      </c>
      <c r="G35">
        <v>10907.47</v>
      </c>
      <c r="H35">
        <f t="shared" si="1"/>
        <v>1.6616352022538194E-3</v>
      </c>
    </row>
    <row r="36" spans="1:8" x14ac:dyDescent="0.3">
      <c r="A36" t="str">
        <v>ZAAUTO2024-1-00033</v>
      </c>
      <c r="B36">
        <v>1</v>
      </c>
      <c r="C36">
        <v>2.1999999999999999E-2</v>
      </c>
      <c r="D36">
        <v>0.47320000000000001</v>
      </c>
      <c r="E36">
        <v>509117.76</v>
      </c>
      <c r="F36">
        <f t="shared" si="0"/>
        <v>5300.119528704</v>
      </c>
      <c r="G36">
        <v>5300.12</v>
      </c>
      <c r="H36">
        <f t="shared" si="1"/>
        <v>-4.7129599988693371E-4</v>
      </c>
    </row>
    <row r="37" spans="1:8" x14ac:dyDescent="0.3">
      <c r="A37" t="str">
        <v>ZAAUTO2024-1-00034</v>
      </c>
      <c r="B37">
        <v>1</v>
      </c>
      <c r="C37">
        <v>1.8200000000000001E-2</v>
      </c>
      <c r="D37">
        <v>0.40439999999999998</v>
      </c>
      <c r="E37">
        <v>396974.89</v>
      </c>
      <c r="F37">
        <f t="shared" si="0"/>
        <v>2921.7669483912</v>
      </c>
      <c r="G37">
        <v>2921.77</v>
      </c>
      <c r="H37">
        <f t="shared" si="1"/>
        <v>-3.0516087999785668E-3</v>
      </c>
    </row>
    <row r="38" spans="1:8" x14ac:dyDescent="0.3">
      <c r="A38" t="str">
        <v>ZAAUTO2024-1-00035</v>
      </c>
      <c r="B38">
        <v>1</v>
      </c>
      <c r="C38">
        <v>1.9199999999999998E-2</v>
      </c>
      <c r="D38">
        <v>0.435</v>
      </c>
      <c r="E38">
        <v>737267.1</v>
      </c>
      <c r="F38">
        <f t="shared" si="0"/>
        <v>6157.6548192</v>
      </c>
      <c r="G38">
        <v>6157.65</v>
      </c>
      <c r="H38">
        <f t="shared" si="1"/>
        <v>4.8192000003837165E-3</v>
      </c>
    </row>
    <row r="39" spans="1:8" x14ac:dyDescent="0.3">
      <c r="A39" t="str">
        <v>ZAAUTO2024-1-00036</v>
      </c>
      <c r="B39">
        <v>2</v>
      </c>
      <c r="C39">
        <v>0.1439</v>
      </c>
      <c r="D39">
        <v>0.62590000000000001</v>
      </c>
      <c r="E39">
        <v>637646.71</v>
      </c>
      <c r="F39">
        <f t="shared" si="0"/>
        <v>57430.932606037095</v>
      </c>
      <c r="G39">
        <v>57430.93</v>
      </c>
      <c r="H39">
        <f t="shared" si="1"/>
        <v>2.6060370946652256E-3</v>
      </c>
    </row>
    <row r="40" spans="1:8" x14ac:dyDescent="0.3">
      <c r="A40" t="str">
        <v>ZAAUTO2024-1-00037</v>
      </c>
      <c r="B40">
        <v>1</v>
      </c>
      <c r="C40">
        <v>2.2200000000000001E-2</v>
      </c>
      <c r="D40">
        <v>0.61460000000000004</v>
      </c>
      <c r="E40">
        <v>436244.26</v>
      </c>
      <c r="F40">
        <f t="shared" si="0"/>
        <v>5952.1690327512006</v>
      </c>
      <c r="G40">
        <v>5952.17</v>
      </c>
      <c r="H40">
        <f t="shared" si="1"/>
        <v>-9.6724879949761089E-4</v>
      </c>
    </row>
    <row r="41" spans="1:8" x14ac:dyDescent="0.3">
      <c r="A41" t="str">
        <v>ZAAUTO2024-1-00038</v>
      </c>
      <c r="B41">
        <v>1</v>
      </c>
      <c r="C41">
        <v>1.52E-2</v>
      </c>
      <c r="D41">
        <v>0.61970000000000003</v>
      </c>
      <c r="E41">
        <v>1162236.07</v>
      </c>
      <c r="F41">
        <f t="shared" si="0"/>
        <v>10947.612927200802</v>
      </c>
      <c r="G41">
        <v>10947.61</v>
      </c>
      <c r="H41">
        <f t="shared" si="1"/>
        <v>2.9272008014231687E-3</v>
      </c>
    </row>
    <row r="42" spans="1:8" x14ac:dyDescent="0.3">
      <c r="A42" t="str">
        <v>ZAAUTO2024-1-00039</v>
      </c>
      <c r="B42">
        <v>1</v>
      </c>
      <c r="C42">
        <v>2.1100000000000001E-2</v>
      </c>
      <c r="D42">
        <v>0.63139999999999996</v>
      </c>
      <c r="E42">
        <v>1430778.23</v>
      </c>
      <c r="F42">
        <f t="shared" si="0"/>
        <v>19061.600200304198</v>
      </c>
      <c r="G42">
        <v>19061.599999999999</v>
      </c>
      <c r="H42">
        <f t="shared" si="1"/>
        <v>2.0030419909744523E-4</v>
      </c>
    </row>
    <row r="43" spans="1:8" x14ac:dyDescent="0.3">
      <c r="A43" t="str">
        <v>ZAAUTO2024-1-00040</v>
      </c>
      <c r="B43">
        <v>1</v>
      </c>
      <c r="C43">
        <v>2.2100000000000002E-2</v>
      </c>
      <c r="D43">
        <v>0.42130000000000001</v>
      </c>
      <c r="E43">
        <v>615903</v>
      </c>
      <c r="F43">
        <f t="shared" si="0"/>
        <v>5734.5065391900007</v>
      </c>
      <c r="G43">
        <v>5734.51</v>
      </c>
      <c r="H43">
        <f t="shared" si="1"/>
        <v>-3.4608099995239172E-3</v>
      </c>
    </row>
    <row r="44" spans="1:8" x14ac:dyDescent="0.3">
      <c r="A44" t="str">
        <v>ZAAUTO2024-1-00041</v>
      </c>
      <c r="B44">
        <v>2</v>
      </c>
      <c r="C44">
        <v>0.14380000000000001</v>
      </c>
      <c r="D44">
        <v>0.3775</v>
      </c>
      <c r="E44">
        <v>1061714.32</v>
      </c>
      <c r="F44">
        <f t="shared" si="0"/>
        <v>57634.631004040013</v>
      </c>
      <c r="G44">
        <v>57634.63</v>
      </c>
      <c r="H44">
        <f t="shared" si="1"/>
        <v>1.004040015686769E-3</v>
      </c>
    </row>
    <row r="45" spans="1:8" x14ac:dyDescent="0.3">
      <c r="A45" t="str">
        <v>ZAAUTO2024-1-00042</v>
      </c>
      <c r="B45">
        <v>1</v>
      </c>
      <c r="C45">
        <v>1.5299999999999999E-2</v>
      </c>
      <c r="D45">
        <v>0.43640000000000001</v>
      </c>
      <c r="E45">
        <v>275403.78999999998</v>
      </c>
      <c r="F45">
        <f t="shared" si="0"/>
        <v>1838.8490735267999</v>
      </c>
      <c r="G45">
        <v>1838.85</v>
      </c>
      <c r="H45">
        <f t="shared" si="1"/>
        <v>-9.2647320002470224E-4</v>
      </c>
    </row>
    <row r="46" spans="1:8" x14ac:dyDescent="0.3">
      <c r="A46" t="str">
        <v>ZAAUTO2024-1-00043</v>
      </c>
      <c r="B46">
        <v>3</v>
      </c>
      <c r="C46">
        <v>0.77710000000000001</v>
      </c>
      <c r="D46">
        <v>0.37030000000000002</v>
      </c>
      <c r="E46">
        <v>504788.85</v>
      </c>
      <c r="F46">
        <f t="shared" si="0"/>
        <v>145258.1050985505</v>
      </c>
      <c r="G46">
        <v>145258.10999999999</v>
      </c>
      <c r="H46">
        <f t="shared" si="1"/>
        <v>-4.9014494870789349E-3</v>
      </c>
    </row>
    <row r="47" spans="1:8" x14ac:dyDescent="0.3">
      <c r="A47" t="str">
        <v>ZAAUTO2024-1-00044</v>
      </c>
      <c r="B47">
        <v>1</v>
      </c>
      <c r="C47">
        <v>1.7299999999999999E-2</v>
      </c>
      <c r="D47">
        <v>0.58979999999999999</v>
      </c>
      <c r="E47">
        <v>1073265.6599999999</v>
      </c>
      <c r="F47">
        <f t="shared" si="0"/>
        <v>10951.109092436398</v>
      </c>
      <c r="G47">
        <v>10951.11</v>
      </c>
      <c r="H47">
        <f t="shared" si="1"/>
        <v>-9.0756360259547364E-4</v>
      </c>
    </row>
    <row r="48" spans="1:8" x14ac:dyDescent="0.3">
      <c r="A48" t="str">
        <v>ZAAUTO2024-1-00045</v>
      </c>
      <c r="B48">
        <v>1</v>
      </c>
      <c r="C48">
        <v>2.2100000000000002E-2</v>
      </c>
      <c r="D48">
        <v>0.47189999999999999</v>
      </c>
      <c r="E48">
        <v>599112.73</v>
      </c>
      <c r="F48">
        <f t="shared" si="0"/>
        <v>6248.1406700427005</v>
      </c>
      <c r="G48">
        <v>6248.14</v>
      </c>
      <c r="H48">
        <f t="shared" si="1"/>
        <v>6.7004270022152923E-4</v>
      </c>
    </row>
    <row r="49" spans="1:8" x14ac:dyDescent="0.3">
      <c r="A49" t="str">
        <v>ZAAUTO2024-1-00046</v>
      </c>
      <c r="B49">
        <v>3</v>
      </c>
      <c r="C49">
        <v>0.94889999999999997</v>
      </c>
      <c r="D49">
        <v>0.64959999999999996</v>
      </c>
      <c r="E49">
        <v>199966.71</v>
      </c>
      <c r="F49">
        <f t="shared" si="0"/>
        <v>123260.56786290239</v>
      </c>
      <c r="G49">
        <v>123260.57</v>
      </c>
      <c r="H49">
        <f t="shared" si="1"/>
        <v>-2.1370976173784584E-3</v>
      </c>
    </row>
    <row r="50" spans="1:8" x14ac:dyDescent="0.3">
      <c r="A50" t="str">
        <v>ZAAUTO2024-1-00047</v>
      </c>
      <c r="B50">
        <v>1</v>
      </c>
      <c r="C50">
        <v>2.0299999999999999E-2</v>
      </c>
      <c r="D50">
        <v>0.58069999999999999</v>
      </c>
      <c r="E50">
        <v>1463665.87</v>
      </c>
      <c r="F50">
        <f t="shared" si="0"/>
        <v>17254.000645392698</v>
      </c>
      <c r="G50">
        <v>17254</v>
      </c>
      <c r="H50">
        <f t="shared" si="1"/>
        <v>6.4539269806118682E-4</v>
      </c>
    </row>
    <row r="51" spans="1:8" x14ac:dyDescent="0.3">
      <c r="A51" t="str">
        <v>ZAAUTO2024-1-00048</v>
      </c>
      <c r="B51">
        <v>3</v>
      </c>
      <c r="C51">
        <v>0.85129999999999995</v>
      </c>
      <c r="D51">
        <v>0.40060000000000001</v>
      </c>
      <c r="E51">
        <v>779609.77</v>
      </c>
      <c r="F51">
        <f t="shared" si="0"/>
        <v>265870.9279587206</v>
      </c>
      <c r="G51">
        <v>265870.93</v>
      </c>
      <c r="H51">
        <f t="shared" si="1"/>
        <v>-2.041279396507889E-3</v>
      </c>
    </row>
    <row r="52" spans="1:8" x14ac:dyDescent="0.3">
      <c r="A52" t="str">
        <v>ZAAUTO2024-1-00049</v>
      </c>
      <c r="B52">
        <v>1</v>
      </c>
      <c r="C52">
        <v>2.4299999999999999E-2</v>
      </c>
      <c r="D52">
        <v>0.44579999999999997</v>
      </c>
      <c r="E52">
        <v>1275973.67</v>
      </c>
      <c r="F52">
        <f t="shared" si="0"/>
        <v>13822.546208689799</v>
      </c>
      <c r="G52">
        <v>13822.55</v>
      </c>
      <c r="H52">
        <f t="shared" si="1"/>
        <v>-3.7913102005404653E-3</v>
      </c>
    </row>
    <row r="53" spans="1:8" x14ac:dyDescent="0.3">
      <c r="A53" t="str">
        <v>ZAAUTO2024-1-00050</v>
      </c>
      <c r="B53">
        <v>1</v>
      </c>
      <c r="C53">
        <v>1.9900000000000001E-2</v>
      </c>
      <c r="D53">
        <v>0.61470000000000002</v>
      </c>
      <c r="E53">
        <v>413581.84</v>
      </c>
      <c r="F53">
        <f t="shared" si="0"/>
        <v>5059.1522652552012</v>
      </c>
      <c r="G53">
        <v>5059.1499999999996</v>
      </c>
      <c r="H53">
        <f t="shared" si="1"/>
        <v>2.2652552015642868E-3</v>
      </c>
    </row>
    <row r="54" spans="1:8" x14ac:dyDescent="0.3">
      <c r="A54" t="str">
        <v>ZAAUTO2024-1-00051</v>
      </c>
      <c r="B54">
        <v>1</v>
      </c>
      <c r="C54">
        <v>1.4500000000000001E-2</v>
      </c>
      <c r="D54">
        <v>0.3911</v>
      </c>
      <c r="E54">
        <v>665157.87</v>
      </c>
      <c r="F54">
        <f t="shared" si="0"/>
        <v>3772.0770228765</v>
      </c>
      <c r="G54">
        <v>3772.08</v>
      </c>
      <c r="H54">
        <f t="shared" si="1"/>
        <v>-2.9771234999316221E-3</v>
      </c>
    </row>
    <row r="55" spans="1:8" x14ac:dyDescent="0.3">
      <c r="A55" t="str">
        <v>ZAAUTO2024-1-00052</v>
      </c>
      <c r="B55">
        <v>1</v>
      </c>
      <c r="C55">
        <v>2.2700000000000001E-2</v>
      </c>
      <c r="D55">
        <v>0.52510000000000001</v>
      </c>
      <c r="E55">
        <v>980068.18</v>
      </c>
      <c r="F55">
        <f t="shared" si="0"/>
        <v>11682.187289918602</v>
      </c>
      <c r="G55">
        <v>11682.19</v>
      </c>
      <c r="H55">
        <f t="shared" si="1"/>
        <v>-2.7100813986180583E-3</v>
      </c>
    </row>
    <row r="56" spans="1:8" x14ac:dyDescent="0.3">
      <c r="A56" t="str">
        <v>ZAAUTO2024-1-00053</v>
      </c>
      <c r="B56">
        <v>1</v>
      </c>
      <c r="C56">
        <v>2.1299999999999999E-2</v>
      </c>
      <c r="D56">
        <v>0.40770000000000001</v>
      </c>
      <c r="E56">
        <v>482429.34</v>
      </c>
      <c r="F56">
        <f t="shared" si="0"/>
        <v>4189.4212128534009</v>
      </c>
      <c r="G56">
        <v>4189.42</v>
      </c>
      <c r="H56">
        <f t="shared" si="1"/>
        <v>1.212853400829772E-3</v>
      </c>
    </row>
    <row r="57" spans="1:8" x14ac:dyDescent="0.3">
      <c r="A57" t="str">
        <v>ZAAUTO2024-1-00054</v>
      </c>
      <c r="B57">
        <v>1</v>
      </c>
      <c r="C57">
        <v>1.5599999999999999E-2</v>
      </c>
      <c r="D57">
        <v>0.53469999999999995</v>
      </c>
      <c r="E57">
        <v>1150258.3799999999</v>
      </c>
      <c r="F57">
        <f t="shared" si="0"/>
        <v>9594.6732302615983</v>
      </c>
      <c r="G57">
        <v>9594.67</v>
      </c>
      <c r="H57">
        <f t="shared" si="1"/>
        <v>3.2302615982189309E-3</v>
      </c>
    </row>
    <row r="58" spans="1:8" x14ac:dyDescent="0.3">
      <c r="A58" t="str">
        <v>ZAAUTO2024-1-00055</v>
      </c>
      <c r="B58">
        <v>1</v>
      </c>
      <c r="C58">
        <v>2.5999999999999999E-2</v>
      </c>
      <c r="D58">
        <v>0.46910000000000002</v>
      </c>
      <c r="E58">
        <v>473628.15</v>
      </c>
      <c r="F58">
        <f t="shared" si="0"/>
        <v>5776.6530942900008</v>
      </c>
      <c r="G58">
        <v>5776.65</v>
      </c>
      <c r="H58">
        <f t="shared" si="1"/>
        <v>3.0942900011723395E-3</v>
      </c>
    </row>
    <row r="59" spans="1:8" x14ac:dyDescent="0.3">
      <c r="A59" t="str">
        <v>ZAAUTO2024-1-00056</v>
      </c>
      <c r="B59">
        <v>1</v>
      </c>
      <c r="C59">
        <v>2.1299999999999999E-2</v>
      </c>
      <c r="D59">
        <v>0.54159999999999997</v>
      </c>
      <c r="E59">
        <v>1433867.88</v>
      </c>
      <c r="F59">
        <f t="shared" si="0"/>
        <v>16541.214573110396</v>
      </c>
      <c r="G59">
        <v>16541.21</v>
      </c>
      <c r="H59">
        <f t="shared" si="1"/>
        <v>4.5731103964499198E-3</v>
      </c>
    </row>
    <row r="60" spans="1:8" x14ac:dyDescent="0.3">
      <c r="A60" t="str">
        <v>ZAAUTO2024-1-00057</v>
      </c>
      <c r="B60">
        <v>1</v>
      </c>
      <c r="C60">
        <v>1.9E-2</v>
      </c>
      <c r="D60">
        <v>0.51480000000000004</v>
      </c>
      <c r="E60">
        <v>409378.9</v>
      </c>
      <c r="F60">
        <f t="shared" si="0"/>
        <v>4004.2168966800004</v>
      </c>
      <c r="G60">
        <v>4004.22</v>
      </c>
      <c r="H60">
        <f t="shared" si="1"/>
        <v>-3.1033199993544258E-3</v>
      </c>
    </row>
    <row r="61" spans="1:8" x14ac:dyDescent="0.3">
      <c r="A61" t="str">
        <v>ZAAUTO2024-1-00058</v>
      </c>
      <c r="B61">
        <v>2</v>
      </c>
      <c r="C61">
        <v>0.1125</v>
      </c>
      <c r="D61">
        <v>0.59489999999999998</v>
      </c>
      <c r="E61">
        <v>285191.46000000002</v>
      </c>
      <c r="F61">
        <f t="shared" si="0"/>
        <v>19086.794949825002</v>
      </c>
      <c r="G61">
        <v>19086.79</v>
      </c>
      <c r="H61">
        <f t="shared" si="1"/>
        <v>4.949825000949204E-3</v>
      </c>
    </row>
    <row r="62" spans="1:8" x14ac:dyDescent="0.3">
      <c r="A62" t="str">
        <v>ZAAUTO2024-1-00059</v>
      </c>
      <c r="B62">
        <v>1</v>
      </c>
      <c r="C62">
        <v>2.2100000000000002E-2</v>
      </c>
      <c r="D62">
        <v>0.51329999999999998</v>
      </c>
      <c r="E62">
        <v>665113.05000000005</v>
      </c>
      <c r="F62">
        <f t="shared" si="0"/>
        <v>7544.9958812865007</v>
      </c>
      <c r="G62">
        <v>7545</v>
      </c>
      <c r="H62">
        <f t="shared" si="1"/>
        <v>-4.1187134993379004E-3</v>
      </c>
    </row>
    <row r="63" spans="1:8" x14ac:dyDescent="0.3">
      <c r="A63" t="str">
        <v>ZAAUTO2024-1-00060</v>
      </c>
      <c r="B63">
        <v>1</v>
      </c>
      <c r="C63">
        <v>2.0899999999999998E-2</v>
      </c>
      <c r="D63">
        <v>0.58179999999999998</v>
      </c>
      <c r="E63">
        <v>195247.98</v>
      </c>
      <c r="F63">
        <f t="shared" si="0"/>
        <v>2374.1412425675999</v>
      </c>
      <c r="G63">
        <v>2374.14</v>
      </c>
      <c r="H63">
        <f t="shared" si="1"/>
        <v>1.2425676000020758E-3</v>
      </c>
    </row>
    <row r="64" spans="1:8" x14ac:dyDescent="0.3">
      <c r="A64" t="str">
        <v>ZAAUTO2024-1-00061</v>
      </c>
      <c r="B64">
        <v>1</v>
      </c>
      <c r="C64">
        <v>2.5600000000000001E-2</v>
      </c>
      <c r="D64">
        <v>0.51719999999999999</v>
      </c>
      <c r="E64">
        <v>913760.73</v>
      </c>
      <c r="F64">
        <f t="shared" si="0"/>
        <v>12098.4844686336</v>
      </c>
      <c r="G64">
        <v>12098.48</v>
      </c>
      <c r="H64">
        <f t="shared" si="1"/>
        <v>4.468633600481553E-3</v>
      </c>
    </row>
    <row r="65" spans="1:8" x14ac:dyDescent="0.3">
      <c r="A65" t="str">
        <v>ZAAUTO2024-1-00062</v>
      </c>
      <c r="B65">
        <v>1</v>
      </c>
      <c r="C65">
        <v>2.0400000000000001E-2</v>
      </c>
      <c r="D65">
        <v>0.45779999999999998</v>
      </c>
      <c r="E65">
        <v>332803.36</v>
      </c>
      <c r="F65">
        <f t="shared" si="0"/>
        <v>3108.0905154432003</v>
      </c>
      <c r="G65">
        <v>3108.09</v>
      </c>
      <c r="H65">
        <f t="shared" si="1"/>
        <v>5.1544320012908429E-4</v>
      </c>
    </row>
    <row r="66" spans="1:8" x14ac:dyDescent="0.3">
      <c r="A66" t="str">
        <v>ZAAUTO2024-1-00063</v>
      </c>
      <c r="B66">
        <v>1</v>
      </c>
      <c r="C66">
        <v>1.95E-2</v>
      </c>
      <c r="D66">
        <v>0.56979999999999997</v>
      </c>
      <c r="E66">
        <v>280535.84999999998</v>
      </c>
      <c r="F66">
        <f t="shared" si="0"/>
        <v>3117.0618829349992</v>
      </c>
      <c r="G66">
        <v>3117.06</v>
      </c>
      <c r="H66">
        <f t="shared" si="1"/>
        <v>1.8829349992302014E-3</v>
      </c>
    </row>
    <row r="67" spans="1:8" x14ac:dyDescent="0.3">
      <c r="A67" t="str">
        <v>ZAAUTO2024-1-00064</v>
      </c>
      <c r="B67">
        <v>1</v>
      </c>
      <c r="C67">
        <v>1.4200000000000001E-2</v>
      </c>
      <c r="D67">
        <v>0.56669999999999998</v>
      </c>
      <c r="E67">
        <v>0</v>
      </c>
      <c r="F67">
        <f t="shared" si="0"/>
        <v>0</v>
      </c>
      <c r="G67">
        <v>0</v>
      </c>
      <c r="H67">
        <f t="shared" si="1"/>
        <v>0</v>
      </c>
    </row>
    <row r="68" spans="1:8" x14ac:dyDescent="0.3">
      <c r="A68" t="str">
        <v>ZAAUTO2024-1-00065</v>
      </c>
      <c r="B68">
        <v>1</v>
      </c>
      <c r="C68">
        <v>2.1700000000000001E-2</v>
      </c>
      <c r="D68">
        <v>0.44940000000000002</v>
      </c>
      <c r="E68">
        <v>379030.82</v>
      </c>
      <c r="F68">
        <f t="shared" si="0"/>
        <v>3696.3009760236</v>
      </c>
      <c r="G68">
        <v>3696.3</v>
      </c>
      <c r="H68">
        <f t="shared" si="1"/>
        <v>9.7602359983284259E-4</v>
      </c>
    </row>
    <row r="69" spans="1:8" x14ac:dyDescent="0.3">
      <c r="A69" t="str">
        <v>ZAAUTO2024-1-00066</v>
      </c>
      <c r="B69">
        <v>1</v>
      </c>
      <c r="C69">
        <v>1.52E-2</v>
      </c>
      <c r="D69">
        <v>0.41959999999999997</v>
      </c>
      <c r="E69">
        <v>1055344.68</v>
      </c>
      <c r="F69">
        <f t="shared" ref="F69:F132" si="2">MAX(0, C69*D69*E69)</f>
        <v>6730.903941465599</v>
      </c>
      <c r="G69">
        <v>6730.9</v>
      </c>
      <c r="H69">
        <f t="shared" ref="H69:H132" si="3">F69-G69</f>
        <v>3.9414655993823544E-3</v>
      </c>
    </row>
    <row r="70" spans="1:8" x14ac:dyDescent="0.3">
      <c r="A70" t="str">
        <v>ZAAUTO2024-1-00067</v>
      </c>
      <c r="B70">
        <v>1</v>
      </c>
      <c r="C70">
        <v>1.83E-2</v>
      </c>
      <c r="D70">
        <v>0.43090000000000001</v>
      </c>
      <c r="E70">
        <v>812598.25</v>
      </c>
      <c r="F70">
        <f t="shared" si="2"/>
        <v>6407.7191224275002</v>
      </c>
      <c r="G70">
        <v>6407.72</v>
      </c>
      <c r="H70">
        <f t="shared" si="3"/>
        <v>-8.7757250003051013E-4</v>
      </c>
    </row>
    <row r="71" spans="1:8" x14ac:dyDescent="0.3">
      <c r="A71" t="str">
        <v>ZAAUTO2024-1-00068</v>
      </c>
      <c r="B71">
        <v>1</v>
      </c>
      <c r="C71">
        <v>1.7000000000000001E-2</v>
      </c>
      <c r="D71">
        <v>0.42399999999999999</v>
      </c>
      <c r="E71">
        <v>1237127.2</v>
      </c>
      <c r="F71">
        <f t="shared" si="2"/>
        <v>8917.2128575999996</v>
      </c>
      <c r="G71">
        <v>8917.2099999999991</v>
      </c>
      <c r="H71">
        <f t="shared" si="3"/>
        <v>2.8576000004250091E-3</v>
      </c>
    </row>
    <row r="72" spans="1:8" x14ac:dyDescent="0.3">
      <c r="A72" t="str">
        <v>ZAAUTO2024-1-00069</v>
      </c>
      <c r="B72">
        <v>1</v>
      </c>
      <c r="C72">
        <v>1.54E-2</v>
      </c>
      <c r="D72">
        <v>0.51919999999999999</v>
      </c>
      <c r="E72">
        <v>1058512.26</v>
      </c>
      <c r="F72">
        <f t="shared" si="2"/>
        <v>8463.5253070367999</v>
      </c>
      <c r="G72">
        <v>8463.5300000000007</v>
      </c>
      <c r="H72">
        <f t="shared" si="3"/>
        <v>-4.6929632007959299E-3</v>
      </c>
    </row>
    <row r="73" spans="1:8" x14ac:dyDescent="0.3">
      <c r="A73" t="str">
        <v>ZAAUTO2024-1-00070</v>
      </c>
      <c r="B73">
        <v>1</v>
      </c>
      <c r="C73">
        <v>1.5299999999999999E-2</v>
      </c>
      <c r="D73">
        <v>0.42449999999999999</v>
      </c>
      <c r="E73">
        <v>497874.81</v>
      </c>
      <c r="F73">
        <f t="shared" si="2"/>
        <v>3233.6222097284999</v>
      </c>
      <c r="G73">
        <v>3233.62</v>
      </c>
      <c r="H73">
        <f t="shared" si="3"/>
        <v>2.2097285000199918E-3</v>
      </c>
    </row>
    <row r="74" spans="1:8" x14ac:dyDescent="0.3">
      <c r="A74" t="str">
        <v>ZAAUTO2024-1-00071</v>
      </c>
      <c r="B74">
        <v>1</v>
      </c>
      <c r="C74">
        <v>1.8200000000000001E-2</v>
      </c>
      <c r="D74">
        <v>0.37930000000000003</v>
      </c>
      <c r="E74">
        <v>473248.37</v>
      </c>
      <c r="F74">
        <f t="shared" si="2"/>
        <v>3266.9565426862</v>
      </c>
      <c r="G74">
        <v>3266.96</v>
      </c>
      <c r="H74">
        <f t="shared" si="3"/>
        <v>-3.4573138000268955E-3</v>
      </c>
    </row>
    <row r="75" spans="1:8" x14ac:dyDescent="0.3">
      <c r="A75" t="str">
        <v>ZAAUTO2024-1-00072</v>
      </c>
      <c r="B75">
        <v>1</v>
      </c>
      <c r="C75">
        <v>2.3E-2</v>
      </c>
      <c r="D75">
        <v>0.59260000000000002</v>
      </c>
      <c r="E75">
        <v>695349.57</v>
      </c>
      <c r="F75">
        <f t="shared" si="2"/>
        <v>9477.4755691859991</v>
      </c>
      <c r="G75">
        <v>9477.48</v>
      </c>
      <c r="H75">
        <f t="shared" si="3"/>
        <v>-4.4308140004432062E-3</v>
      </c>
    </row>
    <row r="76" spans="1:8" x14ac:dyDescent="0.3">
      <c r="A76" t="str">
        <v>ZAAUTO2024-1-00073</v>
      </c>
      <c r="B76">
        <v>1</v>
      </c>
      <c r="C76">
        <v>1.9E-2</v>
      </c>
      <c r="D76">
        <v>0.39140000000000003</v>
      </c>
      <c r="E76">
        <v>594984.46</v>
      </c>
      <c r="F76">
        <f t="shared" si="2"/>
        <v>4424.6614352360002</v>
      </c>
      <c r="G76">
        <v>4424.66</v>
      </c>
      <c r="H76">
        <f t="shared" si="3"/>
        <v>1.4352360003613285E-3</v>
      </c>
    </row>
    <row r="77" spans="1:8" x14ac:dyDescent="0.3">
      <c r="A77" t="str">
        <v>ZAAUTO2024-1-00074</v>
      </c>
      <c r="B77">
        <v>1</v>
      </c>
      <c r="C77">
        <v>1.6E-2</v>
      </c>
      <c r="D77">
        <v>0.48720000000000002</v>
      </c>
      <c r="E77">
        <v>1374334.94</v>
      </c>
      <c r="F77">
        <f t="shared" si="2"/>
        <v>10713.215724288</v>
      </c>
      <c r="G77">
        <v>10713.22</v>
      </c>
      <c r="H77">
        <f t="shared" si="3"/>
        <v>-4.2757119990710635E-3</v>
      </c>
    </row>
    <row r="78" spans="1:8" x14ac:dyDescent="0.3">
      <c r="A78" t="str">
        <v>ZAAUTO2024-1-00075</v>
      </c>
      <c r="B78">
        <v>1</v>
      </c>
      <c r="C78">
        <v>2.3400000000000001E-2</v>
      </c>
      <c r="D78">
        <v>0.59409999999999996</v>
      </c>
      <c r="E78">
        <v>931434.9</v>
      </c>
      <c r="F78">
        <f t="shared" si="2"/>
        <v>12948.752093706</v>
      </c>
      <c r="G78">
        <v>12948.75</v>
      </c>
      <c r="H78">
        <f t="shared" si="3"/>
        <v>2.0937059998686891E-3</v>
      </c>
    </row>
    <row r="79" spans="1:8" x14ac:dyDescent="0.3">
      <c r="A79" t="str">
        <v>ZAAUTO2024-1-00076</v>
      </c>
      <c r="B79">
        <v>1</v>
      </c>
      <c r="C79">
        <v>1.49E-2</v>
      </c>
      <c r="D79">
        <v>0.58840000000000003</v>
      </c>
      <c r="E79">
        <v>436522.6</v>
      </c>
      <c r="F79">
        <f t="shared" si="2"/>
        <v>3827.0634778160002</v>
      </c>
      <c r="G79">
        <v>3827.06</v>
      </c>
      <c r="H79">
        <f t="shared" si="3"/>
        <v>3.4778160002133518E-3</v>
      </c>
    </row>
    <row r="80" spans="1:8" x14ac:dyDescent="0.3">
      <c r="A80" t="str">
        <v>ZAAUTO2024-1-00077</v>
      </c>
      <c r="B80">
        <v>1</v>
      </c>
      <c r="C80">
        <v>2.1499999999999998E-2</v>
      </c>
      <c r="D80">
        <v>0.60099999999999998</v>
      </c>
      <c r="E80">
        <v>590086.59</v>
      </c>
      <c r="F80">
        <f t="shared" si="2"/>
        <v>7624.8038726849991</v>
      </c>
      <c r="G80">
        <v>7624.8</v>
      </c>
      <c r="H80">
        <f t="shared" si="3"/>
        <v>3.8726849988961476E-3</v>
      </c>
    </row>
    <row r="81" spans="1:8" x14ac:dyDescent="0.3">
      <c r="A81" t="str">
        <v>ZAAUTO2024-1-00078</v>
      </c>
      <c r="B81">
        <v>1</v>
      </c>
      <c r="C81">
        <v>1.41E-2</v>
      </c>
      <c r="D81">
        <v>0.4531</v>
      </c>
      <c r="E81">
        <v>0</v>
      </c>
      <c r="F81">
        <f t="shared" si="2"/>
        <v>0</v>
      </c>
      <c r="G81">
        <v>0</v>
      </c>
      <c r="H81">
        <f t="shared" si="3"/>
        <v>0</v>
      </c>
    </row>
    <row r="82" spans="1:8" x14ac:dyDescent="0.3">
      <c r="A82" t="str">
        <v>ZAAUTO2024-1-00079</v>
      </c>
      <c r="B82">
        <v>1</v>
      </c>
      <c r="C82">
        <v>1.8200000000000001E-2</v>
      </c>
      <c r="D82">
        <v>0.4788</v>
      </c>
      <c r="E82">
        <v>198873.14</v>
      </c>
      <c r="F82">
        <f t="shared" si="2"/>
        <v>1733.0123616624003</v>
      </c>
      <c r="G82">
        <v>1733.01</v>
      </c>
      <c r="H82">
        <f t="shared" si="3"/>
        <v>2.3616624002897879E-3</v>
      </c>
    </row>
    <row r="83" spans="1:8" x14ac:dyDescent="0.3">
      <c r="A83" t="str">
        <v>ZAAUTO2024-1-00080</v>
      </c>
      <c r="B83">
        <v>2</v>
      </c>
      <c r="C83">
        <v>8.5199999999999998E-2</v>
      </c>
      <c r="D83">
        <v>0.37030000000000002</v>
      </c>
      <c r="E83">
        <v>0</v>
      </c>
      <c r="F83">
        <f t="shared" si="2"/>
        <v>0</v>
      </c>
      <c r="G83">
        <v>0</v>
      </c>
      <c r="H83">
        <f t="shared" si="3"/>
        <v>0</v>
      </c>
    </row>
    <row r="84" spans="1:8" x14ac:dyDescent="0.3">
      <c r="A84" t="str">
        <v>ZAAUTO2024-1-00081</v>
      </c>
      <c r="B84">
        <v>1</v>
      </c>
      <c r="C84">
        <v>1.77E-2</v>
      </c>
      <c r="D84">
        <v>0.57250000000000001</v>
      </c>
      <c r="E84">
        <v>741152.75</v>
      </c>
      <c r="F84">
        <f t="shared" si="2"/>
        <v>7510.2861039375002</v>
      </c>
      <c r="G84">
        <v>7510.29</v>
      </c>
      <c r="H84">
        <f t="shared" si="3"/>
        <v>-3.8960624997343984E-3</v>
      </c>
    </row>
    <row r="85" spans="1:8" x14ac:dyDescent="0.3">
      <c r="A85" t="str">
        <v>ZAAUTO2024-1-00082</v>
      </c>
      <c r="B85">
        <v>1</v>
      </c>
      <c r="C85">
        <v>1.67E-2</v>
      </c>
      <c r="D85">
        <v>0.50260000000000005</v>
      </c>
      <c r="E85">
        <v>526756.39</v>
      </c>
      <c r="F85">
        <f t="shared" si="2"/>
        <v>4421.2876189538001</v>
      </c>
      <c r="G85">
        <v>4421.29</v>
      </c>
      <c r="H85">
        <f t="shared" si="3"/>
        <v>-2.3810461998436949E-3</v>
      </c>
    </row>
    <row r="86" spans="1:8" x14ac:dyDescent="0.3">
      <c r="A86" t="str">
        <v>ZAAUTO2024-1-00083</v>
      </c>
      <c r="B86">
        <v>2</v>
      </c>
      <c r="C86">
        <v>0.1174</v>
      </c>
      <c r="D86">
        <v>0.52749999999999997</v>
      </c>
      <c r="E86">
        <v>288469.26</v>
      </c>
      <c r="F86">
        <f t="shared" si="2"/>
        <v>17864.46856791</v>
      </c>
      <c r="G86">
        <v>17864.47</v>
      </c>
      <c r="H86">
        <f t="shared" si="3"/>
        <v>-1.4320900008897297E-3</v>
      </c>
    </row>
    <row r="87" spans="1:8" x14ac:dyDescent="0.3">
      <c r="A87" t="str">
        <v>ZAAUTO2024-1-00084</v>
      </c>
      <c r="B87">
        <v>1</v>
      </c>
      <c r="C87">
        <v>2.01E-2</v>
      </c>
      <c r="D87">
        <v>0.54120000000000001</v>
      </c>
      <c r="E87">
        <v>536663.93999999994</v>
      </c>
      <c r="F87">
        <f t="shared" si="2"/>
        <v>5837.8947389927989</v>
      </c>
      <c r="G87">
        <v>5837.89</v>
      </c>
      <c r="H87">
        <f t="shared" si="3"/>
        <v>4.7389927985932445E-3</v>
      </c>
    </row>
    <row r="88" spans="1:8" x14ac:dyDescent="0.3">
      <c r="A88" t="str">
        <v>ZAAUTO2024-1-00085</v>
      </c>
      <c r="B88">
        <v>1</v>
      </c>
      <c r="C88">
        <v>2.3900000000000001E-2</v>
      </c>
      <c r="D88">
        <v>0.55910000000000004</v>
      </c>
      <c r="E88">
        <v>354552.4</v>
      </c>
      <c r="F88">
        <f t="shared" si="2"/>
        <v>4737.7028994760003</v>
      </c>
      <c r="G88">
        <v>4737.7</v>
      </c>
      <c r="H88">
        <f t="shared" si="3"/>
        <v>2.8994760004934506E-3</v>
      </c>
    </row>
    <row r="89" spans="1:8" x14ac:dyDescent="0.3">
      <c r="A89" t="str">
        <v>ZAAUTO2024-1-00086</v>
      </c>
      <c r="B89">
        <v>1</v>
      </c>
      <c r="C89">
        <v>2.5999999999999999E-2</v>
      </c>
      <c r="D89">
        <v>0.4093</v>
      </c>
      <c r="E89">
        <v>201836.31</v>
      </c>
      <c r="F89">
        <f t="shared" si="2"/>
        <v>2147.9016437579999</v>
      </c>
      <c r="G89">
        <v>2147.9</v>
      </c>
      <c r="H89">
        <f t="shared" si="3"/>
        <v>1.643757999772788E-3</v>
      </c>
    </row>
    <row r="90" spans="1:8" x14ac:dyDescent="0.3">
      <c r="A90" t="str">
        <v>ZAAUTO2024-1-00087</v>
      </c>
      <c r="B90">
        <v>1</v>
      </c>
      <c r="C90">
        <v>2.1600000000000001E-2</v>
      </c>
      <c r="D90">
        <v>0.5907</v>
      </c>
      <c r="E90">
        <v>431132.88</v>
      </c>
      <c r="F90">
        <f t="shared" si="2"/>
        <v>5500.8761518656001</v>
      </c>
      <c r="G90">
        <v>5500.88</v>
      </c>
      <c r="H90">
        <f t="shared" si="3"/>
        <v>-3.8481343999592355E-3</v>
      </c>
    </row>
    <row r="91" spans="1:8" x14ac:dyDescent="0.3">
      <c r="A91" t="str">
        <v>ZAAUTO2024-1-00088</v>
      </c>
      <c r="B91">
        <v>1</v>
      </c>
      <c r="C91">
        <v>2.52E-2</v>
      </c>
      <c r="D91">
        <v>0.64749999999999996</v>
      </c>
      <c r="E91">
        <v>205207.89</v>
      </c>
      <c r="F91">
        <f t="shared" si="2"/>
        <v>3348.3771411299999</v>
      </c>
      <c r="G91">
        <v>3348.38</v>
      </c>
      <c r="H91">
        <f t="shared" si="3"/>
        <v>-2.8588700001819234E-3</v>
      </c>
    </row>
    <row r="92" spans="1:8" x14ac:dyDescent="0.3">
      <c r="A92" t="str">
        <v>ZAAUTO2024-1-00089</v>
      </c>
      <c r="B92">
        <v>2</v>
      </c>
      <c r="C92">
        <v>0.1449</v>
      </c>
      <c r="D92">
        <v>0.60819999999999996</v>
      </c>
      <c r="E92">
        <v>1055028.8500000001</v>
      </c>
      <c r="F92">
        <f t="shared" si="2"/>
        <v>92977.772397993002</v>
      </c>
      <c r="G92">
        <v>92977.77</v>
      </c>
      <c r="H92">
        <f t="shared" si="3"/>
        <v>2.3979929974302649E-3</v>
      </c>
    </row>
    <row r="93" spans="1:8" x14ac:dyDescent="0.3">
      <c r="A93" t="str">
        <v>ZAAUTO2024-1-00090</v>
      </c>
      <c r="B93">
        <v>1</v>
      </c>
      <c r="C93">
        <v>1.6199999999999999E-2</v>
      </c>
      <c r="D93">
        <v>0.44550000000000001</v>
      </c>
      <c r="E93">
        <v>1794905.45</v>
      </c>
      <c r="F93">
        <f t="shared" si="2"/>
        <v>12954.012123195</v>
      </c>
      <c r="G93">
        <v>12954.01</v>
      </c>
      <c r="H93">
        <f t="shared" si="3"/>
        <v>2.1231949995126342E-3</v>
      </c>
    </row>
    <row r="94" spans="1:8" x14ac:dyDescent="0.3">
      <c r="A94" t="str">
        <v>ZAAUTO2024-1-00091</v>
      </c>
      <c r="B94">
        <v>1</v>
      </c>
      <c r="C94">
        <v>2.35E-2</v>
      </c>
      <c r="D94">
        <v>0.52339999999999998</v>
      </c>
      <c r="E94">
        <v>454281.44</v>
      </c>
      <c r="F94">
        <f t="shared" si="2"/>
        <v>5587.6162838559994</v>
      </c>
      <c r="G94">
        <v>5587.62</v>
      </c>
      <c r="H94">
        <f t="shared" si="3"/>
        <v>-3.716144000463828E-3</v>
      </c>
    </row>
    <row r="95" spans="1:8" x14ac:dyDescent="0.3">
      <c r="A95" t="str">
        <v>ZAAUTO2024-1-00092</v>
      </c>
      <c r="B95">
        <v>1</v>
      </c>
      <c r="C95">
        <v>2.1899999999999999E-2</v>
      </c>
      <c r="D95">
        <v>0.43919999999999998</v>
      </c>
      <c r="E95">
        <v>0</v>
      </c>
      <c r="F95">
        <f t="shared" si="2"/>
        <v>0</v>
      </c>
      <c r="G95">
        <v>0</v>
      </c>
      <c r="H95">
        <f t="shared" si="3"/>
        <v>0</v>
      </c>
    </row>
    <row r="96" spans="1:8" x14ac:dyDescent="0.3">
      <c r="A96" t="str">
        <v>ZAAUTO2024-1-00093</v>
      </c>
      <c r="B96">
        <v>1</v>
      </c>
      <c r="C96">
        <v>1.67E-2</v>
      </c>
      <c r="D96">
        <v>0.43059999999999998</v>
      </c>
      <c r="E96">
        <v>142683.15</v>
      </c>
      <c r="F96">
        <f t="shared" si="2"/>
        <v>1026.037385313</v>
      </c>
      <c r="G96">
        <v>1026.04</v>
      </c>
      <c r="H96">
        <f t="shared" si="3"/>
        <v>-2.6146870000047784E-3</v>
      </c>
    </row>
    <row r="97" spans="1:8" x14ac:dyDescent="0.3">
      <c r="A97" t="str">
        <v>ZAAUTO2024-1-00094</v>
      </c>
      <c r="B97">
        <v>3</v>
      </c>
      <c r="C97">
        <v>1</v>
      </c>
      <c r="D97">
        <v>0.4274</v>
      </c>
      <c r="E97">
        <v>652646.25</v>
      </c>
      <c r="F97">
        <f t="shared" si="2"/>
        <v>278941.00725000002</v>
      </c>
      <c r="G97">
        <v>278941.01</v>
      </c>
      <c r="H97">
        <f t="shared" si="3"/>
        <v>-2.7499999850988388E-3</v>
      </c>
    </row>
    <row r="98" spans="1:8" x14ac:dyDescent="0.3">
      <c r="A98" t="str">
        <v>ZAAUTO2024-1-00095</v>
      </c>
      <c r="B98">
        <v>2</v>
      </c>
      <c r="C98">
        <v>8.6800000000000002E-2</v>
      </c>
      <c r="D98">
        <v>0.6169</v>
      </c>
      <c r="E98">
        <v>527234.77</v>
      </c>
      <c r="F98">
        <f t="shared" si="2"/>
        <v>28231.798050408404</v>
      </c>
      <c r="G98">
        <v>28231.8</v>
      </c>
      <c r="H98">
        <f t="shared" si="3"/>
        <v>-1.9495915948937181E-3</v>
      </c>
    </row>
    <row r="99" spans="1:8" x14ac:dyDescent="0.3">
      <c r="A99" t="str">
        <v>ZAAUTO2024-1-00096</v>
      </c>
      <c r="B99">
        <v>2</v>
      </c>
      <c r="C99">
        <v>0.14019999999999999</v>
      </c>
      <c r="D99">
        <v>0.50729999999999997</v>
      </c>
      <c r="E99">
        <v>463899.79</v>
      </c>
      <c r="F99">
        <f t="shared" si="2"/>
        <v>32994.158158073391</v>
      </c>
      <c r="G99">
        <v>32994.160000000003</v>
      </c>
      <c r="H99">
        <f t="shared" si="3"/>
        <v>-1.8419266125420108E-3</v>
      </c>
    </row>
    <row r="100" spans="1:8" x14ac:dyDescent="0.3">
      <c r="A100" t="str">
        <v>ZAAUTO2024-1-00097</v>
      </c>
      <c r="B100">
        <v>1</v>
      </c>
      <c r="C100">
        <v>2.4299999999999999E-2</v>
      </c>
      <c r="D100">
        <v>0.54420000000000002</v>
      </c>
      <c r="E100">
        <v>1028983.6</v>
      </c>
      <c r="F100">
        <f t="shared" si="2"/>
        <v>13607.340865415999</v>
      </c>
      <c r="G100">
        <v>13607.34</v>
      </c>
      <c r="H100">
        <f t="shared" si="3"/>
        <v>8.6541599921474699E-4</v>
      </c>
    </row>
    <row r="101" spans="1:8" x14ac:dyDescent="0.3">
      <c r="A101" t="str">
        <v>ZAAUTO2024-1-00098</v>
      </c>
      <c r="B101">
        <v>1</v>
      </c>
      <c r="C101">
        <v>2.07E-2</v>
      </c>
      <c r="D101">
        <v>0.52810000000000001</v>
      </c>
      <c r="E101">
        <v>328760.09999999998</v>
      </c>
      <c r="F101">
        <f t="shared" si="2"/>
        <v>3593.8969223670001</v>
      </c>
      <c r="G101">
        <v>3593.9</v>
      </c>
      <c r="H101">
        <f t="shared" si="3"/>
        <v>-3.0776329999753216E-3</v>
      </c>
    </row>
    <row r="102" spans="1:8" x14ac:dyDescent="0.3">
      <c r="A102" t="str">
        <v>ZAAUTO2024-1-00099</v>
      </c>
      <c r="B102">
        <v>1</v>
      </c>
      <c r="C102">
        <v>2.41E-2</v>
      </c>
      <c r="D102">
        <v>0.6129</v>
      </c>
      <c r="E102">
        <v>260778.14</v>
      </c>
      <c r="F102">
        <f t="shared" si="2"/>
        <v>3851.9252203446003</v>
      </c>
      <c r="G102">
        <v>3851.93</v>
      </c>
      <c r="H102">
        <f t="shared" si="3"/>
        <v>-4.7796553994885471E-3</v>
      </c>
    </row>
    <row r="103" spans="1:8" x14ac:dyDescent="0.3">
      <c r="A103" t="str">
        <v>ZAAUTO2024-1-00100</v>
      </c>
      <c r="B103">
        <v>1</v>
      </c>
      <c r="C103">
        <v>1.5599999999999999E-2</v>
      </c>
      <c r="D103">
        <v>0.41010000000000002</v>
      </c>
      <c r="E103">
        <v>526971.32999999996</v>
      </c>
      <c r="F103">
        <f t="shared" si="2"/>
        <v>3371.3307019547997</v>
      </c>
      <c r="G103">
        <v>3371.33</v>
      </c>
      <c r="H103">
        <f t="shared" si="3"/>
        <v>7.019547997515474E-4</v>
      </c>
    </row>
    <row r="104" spans="1:8" x14ac:dyDescent="0.3">
      <c r="A104" t="str">
        <v>ZAAUTO2024-1-00101</v>
      </c>
      <c r="B104">
        <v>1</v>
      </c>
      <c r="C104">
        <v>2.5399999999999999E-2</v>
      </c>
      <c r="D104">
        <v>0.61760000000000004</v>
      </c>
      <c r="E104">
        <v>367452.36</v>
      </c>
      <c r="F104">
        <f t="shared" si="2"/>
        <v>5764.2398694143994</v>
      </c>
      <c r="G104">
        <v>5764.24</v>
      </c>
      <c r="H104">
        <f t="shared" si="3"/>
        <v>-1.3058560034551192E-4</v>
      </c>
    </row>
    <row r="105" spans="1:8" x14ac:dyDescent="0.3">
      <c r="A105" t="str">
        <v>ZAAUTO2024-1-00102</v>
      </c>
      <c r="B105">
        <v>3</v>
      </c>
      <c r="C105">
        <v>1</v>
      </c>
      <c r="D105">
        <v>0.42670000000000002</v>
      </c>
      <c r="E105">
        <v>234223.75</v>
      </c>
      <c r="F105">
        <f t="shared" si="2"/>
        <v>99943.274125000011</v>
      </c>
      <c r="G105">
        <v>99943.27</v>
      </c>
      <c r="H105">
        <f t="shared" si="3"/>
        <v>4.1250000067520887E-3</v>
      </c>
    </row>
    <row r="106" spans="1:8" x14ac:dyDescent="0.3">
      <c r="A106" t="str">
        <v>ZAAUTO2024-1-00103</v>
      </c>
      <c r="B106">
        <v>1</v>
      </c>
      <c r="C106">
        <v>1.83E-2</v>
      </c>
      <c r="D106">
        <v>0.47289999999999999</v>
      </c>
      <c r="E106">
        <v>840805.33</v>
      </c>
      <c r="F106">
        <f t="shared" si="2"/>
        <v>7276.3881821930991</v>
      </c>
      <c r="G106">
        <v>7276.39</v>
      </c>
      <c r="H106">
        <f t="shared" si="3"/>
        <v>-1.8178069012719789E-3</v>
      </c>
    </row>
    <row r="107" spans="1:8" x14ac:dyDescent="0.3">
      <c r="A107" t="str">
        <v>ZAAUTO2024-1-00104</v>
      </c>
      <c r="B107">
        <v>1</v>
      </c>
      <c r="C107">
        <v>1.5100000000000001E-2</v>
      </c>
      <c r="D107">
        <v>0.57750000000000001</v>
      </c>
      <c r="E107">
        <v>0</v>
      </c>
      <c r="F107">
        <f t="shared" si="2"/>
        <v>0</v>
      </c>
      <c r="G107">
        <v>0</v>
      </c>
      <c r="H107">
        <f t="shared" si="3"/>
        <v>0</v>
      </c>
    </row>
    <row r="108" spans="1:8" x14ac:dyDescent="0.3">
      <c r="A108" t="str">
        <v>ZAAUTO2024-1-00105</v>
      </c>
      <c r="B108">
        <v>3</v>
      </c>
      <c r="C108">
        <v>1</v>
      </c>
      <c r="D108">
        <v>0.61399999999999999</v>
      </c>
      <c r="E108">
        <v>348495.81</v>
      </c>
      <c r="F108">
        <f t="shared" si="2"/>
        <v>213976.42733999999</v>
      </c>
      <c r="G108">
        <v>213976.43</v>
      </c>
      <c r="H108">
        <f t="shared" si="3"/>
        <v>-2.6599999982863665E-3</v>
      </c>
    </row>
    <row r="109" spans="1:8" x14ac:dyDescent="0.3">
      <c r="A109" t="str">
        <v>ZAAUTO2024-1-00106</v>
      </c>
      <c r="B109">
        <v>1</v>
      </c>
      <c r="C109">
        <v>2.3E-2</v>
      </c>
      <c r="D109">
        <v>0.44619999999999999</v>
      </c>
      <c r="E109">
        <v>672159.36</v>
      </c>
      <c r="F109">
        <f t="shared" si="2"/>
        <v>6898.1026479359998</v>
      </c>
      <c r="G109">
        <v>6898.1</v>
      </c>
      <c r="H109">
        <f t="shared" si="3"/>
        <v>2.6479359994482365E-3</v>
      </c>
    </row>
    <row r="110" spans="1:8" x14ac:dyDescent="0.3">
      <c r="A110" t="str">
        <v>ZAAUTO2024-1-00107</v>
      </c>
      <c r="B110">
        <v>3</v>
      </c>
      <c r="C110">
        <v>0.88070000000000004</v>
      </c>
      <c r="D110">
        <v>0.53590000000000004</v>
      </c>
      <c r="E110">
        <v>267340.15000000002</v>
      </c>
      <c r="F110">
        <f t="shared" si="2"/>
        <v>126175.76332926952</v>
      </c>
      <c r="G110">
        <v>126175.76</v>
      </c>
      <c r="H110">
        <f t="shared" si="3"/>
        <v>3.3292695297859609E-3</v>
      </c>
    </row>
    <row r="111" spans="1:8" x14ac:dyDescent="0.3">
      <c r="A111" t="str">
        <v>ZAAUTO2024-1-00108</v>
      </c>
      <c r="B111">
        <v>1</v>
      </c>
      <c r="C111">
        <v>2.1899999999999999E-2</v>
      </c>
      <c r="D111">
        <v>0.63690000000000002</v>
      </c>
      <c r="E111">
        <v>141022.87</v>
      </c>
      <c r="F111">
        <f t="shared" si="2"/>
        <v>1967.0025032756998</v>
      </c>
      <c r="G111">
        <v>1967</v>
      </c>
      <c r="H111">
        <f t="shared" si="3"/>
        <v>2.5032756998371042E-3</v>
      </c>
    </row>
    <row r="112" spans="1:8" x14ac:dyDescent="0.3">
      <c r="A112" t="str">
        <v>ZAAUTO2024-1-00109</v>
      </c>
      <c r="B112">
        <v>3</v>
      </c>
      <c r="C112">
        <v>0.69750000000000001</v>
      </c>
      <c r="D112">
        <v>0.5373</v>
      </c>
      <c r="E112">
        <v>862276.58</v>
      </c>
      <c r="F112">
        <f t="shared" si="2"/>
        <v>323152.59148771496</v>
      </c>
      <c r="G112">
        <v>323152.59000000003</v>
      </c>
      <c r="H112">
        <f t="shared" si="3"/>
        <v>1.4877149369567633E-3</v>
      </c>
    </row>
    <row r="113" spans="1:8" x14ac:dyDescent="0.3">
      <c r="A113" t="str">
        <v>ZAAUTO2024-1-00110</v>
      </c>
      <c r="B113">
        <v>1</v>
      </c>
      <c r="C113">
        <v>2.23E-2</v>
      </c>
      <c r="D113">
        <v>0.4385</v>
      </c>
      <c r="E113">
        <v>1009926.39</v>
      </c>
      <c r="F113">
        <f t="shared" si="2"/>
        <v>9875.6157009345006</v>
      </c>
      <c r="G113">
        <v>9875.6200000000008</v>
      </c>
      <c r="H113">
        <f t="shared" si="3"/>
        <v>-4.2990655001631239E-3</v>
      </c>
    </row>
    <row r="114" spans="1:8" x14ac:dyDescent="0.3">
      <c r="A114" t="str">
        <v>ZAAUTO2024-1-00111</v>
      </c>
      <c r="B114">
        <v>1</v>
      </c>
      <c r="C114">
        <v>1.6199999999999999E-2</v>
      </c>
      <c r="D114">
        <v>0.40210000000000001</v>
      </c>
      <c r="E114">
        <v>1566466.03</v>
      </c>
      <c r="F114">
        <f t="shared" si="2"/>
        <v>10203.9910487406</v>
      </c>
      <c r="G114">
        <v>10203.99</v>
      </c>
      <c r="H114">
        <f t="shared" si="3"/>
        <v>1.0487405997992028E-3</v>
      </c>
    </row>
    <row r="115" spans="1:8" x14ac:dyDescent="0.3">
      <c r="A115" t="str">
        <v>ZAAUTO2024-1-00112</v>
      </c>
      <c r="B115">
        <v>1</v>
      </c>
      <c r="C115">
        <v>1.8200000000000001E-2</v>
      </c>
      <c r="D115">
        <v>0.61499999999999999</v>
      </c>
      <c r="E115">
        <v>434608.74</v>
      </c>
      <c r="F115">
        <f t="shared" si="2"/>
        <v>4864.5756268200003</v>
      </c>
      <c r="G115">
        <v>4864.58</v>
      </c>
      <c r="H115">
        <f t="shared" si="3"/>
        <v>-4.3731799996749032E-3</v>
      </c>
    </row>
    <row r="116" spans="1:8" x14ac:dyDescent="0.3">
      <c r="A116" t="str">
        <v>ZAAUTO2024-1-00113</v>
      </c>
      <c r="B116">
        <v>1</v>
      </c>
      <c r="C116">
        <v>2.5700000000000001E-2</v>
      </c>
      <c r="D116">
        <v>0.58199999999999996</v>
      </c>
      <c r="E116">
        <v>1085137.94</v>
      </c>
      <c r="F116">
        <f t="shared" si="2"/>
        <v>16230.842223755999</v>
      </c>
      <c r="G116">
        <v>16230.84</v>
      </c>
      <c r="H116">
        <f t="shared" si="3"/>
        <v>2.2237559987843269E-3</v>
      </c>
    </row>
    <row r="117" spans="1:8" x14ac:dyDescent="0.3">
      <c r="A117" t="str">
        <v>ZAAUTO2024-1-00114</v>
      </c>
      <c r="B117">
        <v>2</v>
      </c>
      <c r="C117">
        <v>0.1384</v>
      </c>
      <c r="D117">
        <v>0.52569999999999995</v>
      </c>
      <c r="E117">
        <v>335388.68</v>
      </c>
      <c r="F117">
        <f t="shared" si="2"/>
        <v>24401.8339441184</v>
      </c>
      <c r="G117">
        <v>24401.83</v>
      </c>
      <c r="H117">
        <f t="shared" si="3"/>
        <v>3.9441183980670758E-3</v>
      </c>
    </row>
    <row r="118" spans="1:8" x14ac:dyDescent="0.3">
      <c r="A118" t="str">
        <v>ZAAUTO2024-1-00115</v>
      </c>
      <c r="B118">
        <v>2</v>
      </c>
      <c r="C118">
        <v>9.9199999999999997E-2</v>
      </c>
      <c r="D118">
        <v>0.62170000000000003</v>
      </c>
      <c r="E118">
        <v>275482.12</v>
      </c>
      <c r="F118">
        <f t="shared" si="2"/>
        <v>16989.709613196799</v>
      </c>
      <c r="G118">
        <v>16989.71</v>
      </c>
      <c r="H118">
        <f t="shared" si="3"/>
        <v>-3.8680319994455203E-4</v>
      </c>
    </row>
    <row r="119" spans="1:8" x14ac:dyDescent="0.3">
      <c r="A119" t="str">
        <v>ZAAUTO2024-1-00116</v>
      </c>
      <c r="B119">
        <v>1</v>
      </c>
      <c r="C119">
        <v>2.3699999999999999E-2</v>
      </c>
      <c r="D119">
        <v>0.63759999999999994</v>
      </c>
      <c r="E119">
        <v>298532.49</v>
      </c>
      <c r="F119">
        <f t="shared" si="2"/>
        <v>4511.1602802887992</v>
      </c>
      <c r="G119">
        <v>4511.16</v>
      </c>
      <c r="H119">
        <f t="shared" si="3"/>
        <v>2.8028879933117423E-4</v>
      </c>
    </row>
    <row r="120" spans="1:8" x14ac:dyDescent="0.3">
      <c r="A120" t="str">
        <v>ZAAUTO2024-1-00117</v>
      </c>
      <c r="B120">
        <v>1</v>
      </c>
      <c r="C120">
        <v>2.3199999999999998E-2</v>
      </c>
      <c r="D120">
        <v>0.4138</v>
      </c>
      <c r="E120">
        <v>887535.78</v>
      </c>
      <c r="F120">
        <f t="shared" si="2"/>
        <v>8520.4854937248001</v>
      </c>
      <c r="G120">
        <v>8520.49</v>
      </c>
      <c r="H120">
        <f t="shared" si="3"/>
        <v>-4.5062751996738371E-3</v>
      </c>
    </row>
    <row r="121" spans="1:8" x14ac:dyDescent="0.3">
      <c r="A121" t="str">
        <v>ZAAUTO2024-1-00118</v>
      </c>
      <c r="B121">
        <v>1</v>
      </c>
      <c r="C121">
        <v>1.8700000000000001E-2</v>
      </c>
      <c r="D121">
        <v>0.62539999999999996</v>
      </c>
      <c r="E121">
        <v>200010.59</v>
      </c>
      <c r="F121">
        <f t="shared" si="2"/>
        <v>2339.1198498382</v>
      </c>
      <c r="G121">
        <v>2339.12</v>
      </c>
      <c r="H121">
        <f t="shared" si="3"/>
        <v>-1.5016179986560019E-4</v>
      </c>
    </row>
    <row r="122" spans="1:8" x14ac:dyDescent="0.3">
      <c r="A122" t="str">
        <v>ZAAUTO2024-1-00119</v>
      </c>
      <c r="B122">
        <v>1</v>
      </c>
      <c r="C122">
        <v>1.5900000000000001E-2</v>
      </c>
      <c r="D122">
        <v>0.53059999999999996</v>
      </c>
      <c r="E122">
        <v>327414.84999999998</v>
      </c>
      <c r="F122">
        <f t="shared" si="2"/>
        <v>2762.2484786189998</v>
      </c>
      <c r="G122">
        <v>2762.25</v>
      </c>
      <c r="H122">
        <f t="shared" si="3"/>
        <v>-1.521381000202382E-3</v>
      </c>
    </row>
    <row r="123" spans="1:8" x14ac:dyDescent="0.3">
      <c r="A123" t="str">
        <v>ZAAUTO2024-1-00120</v>
      </c>
      <c r="B123">
        <v>1</v>
      </c>
      <c r="C123">
        <v>2.4400000000000002E-2</v>
      </c>
      <c r="D123">
        <v>0.4012</v>
      </c>
      <c r="E123">
        <v>429022.62</v>
      </c>
      <c r="F123">
        <f t="shared" si="2"/>
        <v>4199.8225535136007</v>
      </c>
      <c r="G123">
        <v>4199.82</v>
      </c>
      <c r="H123">
        <f t="shared" si="3"/>
        <v>2.5535136010148562E-3</v>
      </c>
    </row>
    <row r="124" spans="1:8" x14ac:dyDescent="0.3">
      <c r="A124" t="str">
        <v>ZAAUTO2024-1-00121</v>
      </c>
      <c r="B124">
        <v>1</v>
      </c>
      <c r="C124">
        <v>2.1899999999999999E-2</v>
      </c>
      <c r="D124">
        <v>0.62060000000000004</v>
      </c>
      <c r="E124">
        <v>1817627.91</v>
      </c>
      <c r="F124">
        <f t="shared" si="2"/>
        <v>24703.635392717399</v>
      </c>
      <c r="G124">
        <v>24703.64</v>
      </c>
      <c r="H124">
        <f t="shared" si="3"/>
        <v>-4.6072826007730328E-3</v>
      </c>
    </row>
    <row r="125" spans="1:8" x14ac:dyDescent="0.3">
      <c r="A125" t="str">
        <v>ZAAUTO2024-1-00122</v>
      </c>
      <c r="B125">
        <v>1</v>
      </c>
      <c r="C125">
        <v>1.8499999999999999E-2</v>
      </c>
      <c r="D125">
        <v>0.41160000000000002</v>
      </c>
      <c r="E125">
        <v>2041875.44</v>
      </c>
      <c r="F125">
        <f t="shared" si="2"/>
        <v>15548.064725423999</v>
      </c>
      <c r="G125">
        <v>15548.06</v>
      </c>
      <c r="H125">
        <f t="shared" si="3"/>
        <v>4.7254239998437697E-3</v>
      </c>
    </row>
    <row r="126" spans="1:8" x14ac:dyDescent="0.3">
      <c r="A126" t="str">
        <v>ZAAUTO2024-1-00123</v>
      </c>
      <c r="B126">
        <v>1</v>
      </c>
      <c r="C126">
        <v>1.66E-2</v>
      </c>
      <c r="D126">
        <v>0.47020000000000001</v>
      </c>
      <c r="E126">
        <v>2161269.9900000002</v>
      </c>
      <c r="F126">
        <f t="shared" si="2"/>
        <v>16869.403878346802</v>
      </c>
      <c r="G126">
        <v>16869.400000000001</v>
      </c>
      <c r="H126">
        <f t="shared" si="3"/>
        <v>3.8783468007750344E-3</v>
      </c>
    </row>
    <row r="127" spans="1:8" x14ac:dyDescent="0.3">
      <c r="A127" t="str">
        <v>ZAAUTO2024-1-00124</v>
      </c>
      <c r="B127">
        <v>3</v>
      </c>
      <c r="C127">
        <v>0.90869999999999995</v>
      </c>
      <c r="D127">
        <v>0.55220000000000002</v>
      </c>
      <c r="E127">
        <v>46283.79</v>
      </c>
      <c r="F127">
        <f t="shared" si="2"/>
        <v>23224.471761090601</v>
      </c>
      <c r="G127">
        <v>23224.47</v>
      </c>
      <c r="H127">
        <f t="shared" si="3"/>
        <v>1.7610905997571535E-3</v>
      </c>
    </row>
    <row r="128" spans="1:8" x14ac:dyDescent="0.3">
      <c r="A128" t="str">
        <v>ZAAUTO2024-1-00125</v>
      </c>
      <c r="B128">
        <v>2</v>
      </c>
      <c r="C128">
        <v>0.14710000000000001</v>
      </c>
      <c r="D128">
        <v>0.59389999999999998</v>
      </c>
      <c r="E128">
        <v>244926.51</v>
      </c>
      <c r="F128">
        <f t="shared" si="2"/>
        <v>21397.438765911902</v>
      </c>
      <c r="G128">
        <v>21397.439999999999</v>
      </c>
      <c r="H128">
        <f t="shared" si="3"/>
        <v>-1.2340880966803525E-3</v>
      </c>
    </row>
    <row r="129" spans="1:8" x14ac:dyDescent="0.3">
      <c r="A129" t="str">
        <v>ZAAUTO2024-1-00126</v>
      </c>
      <c r="B129">
        <v>1</v>
      </c>
      <c r="C129">
        <v>1.6199999999999999E-2</v>
      </c>
      <c r="D129">
        <v>0.57379999999999998</v>
      </c>
      <c r="E129">
        <v>467077.53</v>
      </c>
      <c r="F129">
        <f t="shared" si="2"/>
        <v>4341.7472047667998</v>
      </c>
      <c r="G129">
        <v>4341.75</v>
      </c>
      <c r="H129">
        <f t="shared" si="3"/>
        <v>-2.7952332002314506E-3</v>
      </c>
    </row>
    <row r="130" spans="1:8" x14ac:dyDescent="0.3">
      <c r="A130" t="str">
        <v>ZAAUTO2024-1-00127</v>
      </c>
      <c r="B130">
        <v>1</v>
      </c>
      <c r="C130">
        <v>1.8800000000000001E-2</v>
      </c>
      <c r="D130">
        <v>0.57509999999999994</v>
      </c>
      <c r="E130">
        <v>106702.87</v>
      </c>
      <c r="F130">
        <f t="shared" si="2"/>
        <v>1153.6586260955999</v>
      </c>
      <c r="G130">
        <v>1153.6600000000001</v>
      </c>
      <c r="H130">
        <f t="shared" si="3"/>
        <v>-1.3739044002250012E-3</v>
      </c>
    </row>
    <row r="131" spans="1:8" x14ac:dyDescent="0.3">
      <c r="A131" t="str">
        <v>ZAAUTO2024-1-00128</v>
      </c>
      <c r="B131">
        <v>1</v>
      </c>
      <c r="C131">
        <v>1.6199999999999999E-2</v>
      </c>
      <c r="D131">
        <v>0.38929999999999998</v>
      </c>
      <c r="E131">
        <v>273522.32</v>
      </c>
      <c r="F131">
        <f t="shared" si="2"/>
        <v>1725.0122746512</v>
      </c>
      <c r="G131">
        <v>1725.01</v>
      </c>
      <c r="H131">
        <f t="shared" si="3"/>
        <v>2.2746511999685026E-3</v>
      </c>
    </row>
    <row r="132" spans="1:8" x14ac:dyDescent="0.3">
      <c r="A132" t="str">
        <v>ZAAUTO2024-1-00129</v>
      </c>
      <c r="B132">
        <v>1</v>
      </c>
      <c r="C132">
        <v>1.7100000000000001E-2</v>
      </c>
      <c r="D132">
        <v>0.45810000000000001</v>
      </c>
      <c r="E132">
        <v>593191.25</v>
      </c>
      <c r="F132">
        <f t="shared" si="2"/>
        <v>4646.7695887874997</v>
      </c>
      <c r="G132">
        <v>4646.7700000000004</v>
      </c>
      <c r="H132">
        <f t="shared" si="3"/>
        <v>-4.1121250069409143E-4</v>
      </c>
    </row>
    <row r="133" spans="1:8" x14ac:dyDescent="0.3">
      <c r="A133" t="str">
        <v>ZAAUTO2024-1-00130</v>
      </c>
      <c r="B133">
        <v>1</v>
      </c>
      <c r="C133">
        <v>1.7299999999999999E-2</v>
      </c>
      <c r="D133">
        <v>0.48349999999999999</v>
      </c>
      <c r="E133">
        <v>1441585.12</v>
      </c>
      <c r="F133">
        <f t="shared" ref="F133:F196" si="4">MAX(0, C133*D133*E133)</f>
        <v>12058.210815496001</v>
      </c>
      <c r="G133">
        <v>12058.21</v>
      </c>
      <c r="H133">
        <f t="shared" ref="H133:H196" si="5">F133-G133</f>
        <v>8.1549600145081058E-4</v>
      </c>
    </row>
    <row r="134" spans="1:8" x14ac:dyDescent="0.3">
      <c r="A134" t="str">
        <v>ZAAUTO2024-1-00131</v>
      </c>
      <c r="B134">
        <v>1</v>
      </c>
      <c r="C134">
        <v>1.5599999999999999E-2</v>
      </c>
      <c r="D134">
        <v>0.60160000000000002</v>
      </c>
      <c r="E134">
        <v>0</v>
      </c>
      <c r="F134">
        <f t="shared" si="4"/>
        <v>0</v>
      </c>
      <c r="G134">
        <v>0</v>
      </c>
      <c r="H134">
        <f t="shared" si="5"/>
        <v>0</v>
      </c>
    </row>
    <row r="135" spans="1:8" x14ac:dyDescent="0.3">
      <c r="A135" t="str">
        <v>ZAAUTO2024-1-00132</v>
      </c>
      <c r="B135">
        <v>1</v>
      </c>
      <c r="C135">
        <v>2.23E-2</v>
      </c>
      <c r="D135">
        <v>0.49759999999999999</v>
      </c>
      <c r="E135">
        <v>668326.23</v>
      </c>
      <c r="F135">
        <f t="shared" si="4"/>
        <v>7416.0686446704003</v>
      </c>
      <c r="G135">
        <v>7416.07</v>
      </c>
      <c r="H135">
        <f t="shared" si="5"/>
        <v>-1.3553295993915526E-3</v>
      </c>
    </row>
    <row r="136" spans="1:8" x14ac:dyDescent="0.3">
      <c r="A136" t="str">
        <v>ZAAUTO2024-1-00133</v>
      </c>
      <c r="B136">
        <v>1</v>
      </c>
      <c r="C136">
        <v>2.1399999999999999E-2</v>
      </c>
      <c r="D136">
        <v>0.43159999999999998</v>
      </c>
      <c r="E136">
        <v>683518.48</v>
      </c>
      <c r="F136">
        <f t="shared" si="4"/>
        <v>6313.1407257151996</v>
      </c>
      <c r="G136">
        <v>6313.14</v>
      </c>
      <c r="H136">
        <f t="shared" si="5"/>
        <v>7.2571519922348671E-4</v>
      </c>
    </row>
    <row r="137" spans="1:8" x14ac:dyDescent="0.3">
      <c r="A137" t="str">
        <v>ZAAUTO2024-1-00134</v>
      </c>
      <c r="B137">
        <v>1</v>
      </c>
      <c r="C137">
        <v>2.5700000000000001E-2</v>
      </c>
      <c r="D137">
        <v>0.56440000000000001</v>
      </c>
      <c r="E137">
        <v>110109.21</v>
      </c>
      <c r="F137">
        <f t="shared" si="4"/>
        <v>1597.1428997868002</v>
      </c>
      <c r="G137">
        <v>1597.14</v>
      </c>
      <c r="H137">
        <f t="shared" si="5"/>
        <v>2.8997868000715243E-3</v>
      </c>
    </row>
    <row r="138" spans="1:8" x14ac:dyDescent="0.3">
      <c r="A138" t="str">
        <v>ZAAUTO2024-1-00135</v>
      </c>
      <c r="B138">
        <v>3</v>
      </c>
      <c r="C138">
        <v>0.94610000000000005</v>
      </c>
      <c r="D138">
        <v>0.39650000000000002</v>
      </c>
      <c r="E138">
        <v>309150.89</v>
      </c>
      <c r="F138">
        <f t="shared" si="4"/>
        <v>115971.35601199852</v>
      </c>
      <c r="G138">
        <v>115971.36</v>
      </c>
      <c r="H138">
        <f t="shared" si="5"/>
        <v>-3.9880014810478315E-3</v>
      </c>
    </row>
    <row r="139" spans="1:8" x14ac:dyDescent="0.3">
      <c r="A139" t="str">
        <v>ZAAUTO2024-1-00136</v>
      </c>
      <c r="B139">
        <v>2</v>
      </c>
      <c r="C139">
        <v>0.13669999999999999</v>
      </c>
      <c r="D139">
        <v>0.43259999999999998</v>
      </c>
      <c r="E139">
        <v>320897.49</v>
      </c>
      <c r="F139">
        <f t="shared" si="4"/>
        <v>18976.728745585799</v>
      </c>
      <c r="G139">
        <v>18976.73</v>
      </c>
      <c r="H139">
        <f t="shared" si="5"/>
        <v>-1.2544142009573989E-3</v>
      </c>
    </row>
    <row r="140" spans="1:8" x14ac:dyDescent="0.3">
      <c r="A140" t="str">
        <v>ZAAUTO2024-1-00137</v>
      </c>
      <c r="B140">
        <v>1</v>
      </c>
      <c r="C140">
        <v>2.0299999999999999E-2</v>
      </c>
      <c r="D140">
        <v>0.37</v>
      </c>
      <c r="E140">
        <v>164132.66</v>
      </c>
      <c r="F140">
        <f t="shared" si="4"/>
        <v>1232.8004092599999</v>
      </c>
      <c r="G140">
        <v>1232.8</v>
      </c>
      <c r="H140">
        <f t="shared" si="5"/>
        <v>4.0925999996943574E-4</v>
      </c>
    </row>
    <row r="141" spans="1:8" x14ac:dyDescent="0.3">
      <c r="A141" t="str">
        <v>ZAAUTO2024-1-00138</v>
      </c>
      <c r="B141">
        <v>1</v>
      </c>
      <c r="C141">
        <v>2.4E-2</v>
      </c>
      <c r="D141">
        <v>0.37340000000000001</v>
      </c>
      <c r="E141">
        <v>0</v>
      </c>
      <c r="F141">
        <f t="shared" si="4"/>
        <v>0</v>
      </c>
      <c r="G141">
        <v>0</v>
      </c>
      <c r="H141">
        <f t="shared" si="5"/>
        <v>0</v>
      </c>
    </row>
    <row r="142" spans="1:8" x14ac:dyDescent="0.3">
      <c r="A142" t="str">
        <v>ZAAUTO2024-1-00139</v>
      </c>
      <c r="B142">
        <v>1</v>
      </c>
      <c r="C142">
        <v>1.89E-2</v>
      </c>
      <c r="D142">
        <v>0.54</v>
      </c>
      <c r="E142">
        <v>1097770.74</v>
      </c>
      <c r="F142">
        <f t="shared" si="4"/>
        <v>11203.848172440001</v>
      </c>
      <c r="G142">
        <v>11203.85</v>
      </c>
      <c r="H142">
        <f t="shared" si="5"/>
        <v>-1.8275599995831726E-3</v>
      </c>
    </row>
    <row r="143" spans="1:8" x14ac:dyDescent="0.3">
      <c r="A143" t="str">
        <v>ZAAUTO2024-1-00140</v>
      </c>
      <c r="B143">
        <v>1</v>
      </c>
      <c r="C143">
        <v>1.84E-2</v>
      </c>
      <c r="D143">
        <v>0.52459999999999996</v>
      </c>
      <c r="E143">
        <v>258624.92</v>
      </c>
      <c r="F143">
        <f t="shared" si="4"/>
        <v>2496.4132477887997</v>
      </c>
      <c r="G143">
        <v>2496.41</v>
      </c>
      <c r="H143">
        <f t="shared" si="5"/>
        <v>3.247788799853879E-3</v>
      </c>
    </row>
    <row r="144" spans="1:8" x14ac:dyDescent="0.3">
      <c r="A144" t="str">
        <v>ZAAUTO2024-1-00141</v>
      </c>
      <c r="B144">
        <v>1</v>
      </c>
      <c r="C144">
        <v>2.0500000000000001E-2</v>
      </c>
      <c r="D144">
        <v>0.39489999999999997</v>
      </c>
      <c r="E144">
        <v>636937.06000000006</v>
      </c>
      <c r="F144">
        <f t="shared" si="4"/>
        <v>5156.2921223770009</v>
      </c>
      <c r="G144">
        <v>5156.29</v>
      </c>
      <c r="H144">
        <f t="shared" si="5"/>
        <v>2.1223770008873544E-3</v>
      </c>
    </row>
    <row r="145" spans="1:8" x14ac:dyDescent="0.3">
      <c r="A145" t="str">
        <v>ZAAUTO2024-1-00142</v>
      </c>
      <c r="B145">
        <v>1</v>
      </c>
      <c r="C145">
        <v>1.6899999999999998E-2</v>
      </c>
      <c r="D145">
        <v>0.4299</v>
      </c>
      <c r="E145">
        <v>1694559.43</v>
      </c>
      <c r="F145">
        <f t="shared" si="4"/>
        <v>12311.499572373299</v>
      </c>
      <c r="G145">
        <v>12311.5</v>
      </c>
      <c r="H145">
        <f t="shared" si="5"/>
        <v>-4.2762670091178734E-4</v>
      </c>
    </row>
    <row r="146" spans="1:8" x14ac:dyDescent="0.3">
      <c r="A146" t="str">
        <v>ZAAUTO2024-1-00143</v>
      </c>
      <c r="B146">
        <v>1</v>
      </c>
      <c r="C146">
        <v>1.8100000000000002E-2</v>
      </c>
      <c r="D146">
        <v>0.59130000000000005</v>
      </c>
      <c r="E146">
        <v>317072.62</v>
      </c>
      <c r="F146">
        <f t="shared" si="4"/>
        <v>3393.4792277286006</v>
      </c>
      <c r="G146">
        <v>3393.48</v>
      </c>
      <c r="H146">
        <f t="shared" si="5"/>
        <v>-7.7227139945534873E-4</v>
      </c>
    </row>
    <row r="147" spans="1:8" x14ac:dyDescent="0.3">
      <c r="A147" t="str">
        <v>ZAAUTO2024-1-00144</v>
      </c>
      <c r="B147">
        <v>1</v>
      </c>
      <c r="C147">
        <v>2.58E-2</v>
      </c>
      <c r="D147">
        <v>0.50260000000000005</v>
      </c>
      <c r="E147">
        <v>829647.83</v>
      </c>
      <c r="F147">
        <f t="shared" si="4"/>
        <v>10758.109783436399</v>
      </c>
      <c r="G147">
        <v>10758.11</v>
      </c>
      <c r="H147">
        <f t="shared" si="5"/>
        <v>-2.1656360149790999E-4</v>
      </c>
    </row>
    <row r="148" spans="1:8" x14ac:dyDescent="0.3">
      <c r="A148" t="str">
        <v>ZAAUTO2024-1-00145</v>
      </c>
      <c r="B148">
        <v>1</v>
      </c>
      <c r="C148">
        <v>1.9E-2</v>
      </c>
      <c r="D148">
        <v>0.52190000000000003</v>
      </c>
      <c r="E148">
        <v>498491.18</v>
      </c>
      <c r="F148">
        <f t="shared" si="4"/>
        <v>4943.0883899979999</v>
      </c>
      <c r="G148">
        <v>4943.09</v>
      </c>
      <c r="H148">
        <f t="shared" si="5"/>
        <v>-1.6100020002340898E-3</v>
      </c>
    </row>
    <row r="149" spans="1:8" x14ac:dyDescent="0.3">
      <c r="A149" t="str">
        <v>ZAAUTO2024-1-00146</v>
      </c>
      <c r="B149">
        <v>1</v>
      </c>
      <c r="C149">
        <v>2.29E-2</v>
      </c>
      <c r="D149">
        <v>0.59650000000000003</v>
      </c>
      <c r="E149">
        <v>2275296.4500000002</v>
      </c>
      <c r="F149">
        <f t="shared" si="4"/>
        <v>31080.208212532507</v>
      </c>
      <c r="G149">
        <v>31080.21</v>
      </c>
      <c r="H149">
        <f t="shared" si="5"/>
        <v>-1.7874674922495615E-3</v>
      </c>
    </row>
    <row r="150" spans="1:8" x14ac:dyDescent="0.3">
      <c r="A150" t="str">
        <v>ZAAUTO2024-1-00147</v>
      </c>
      <c r="B150">
        <v>1</v>
      </c>
      <c r="C150">
        <v>2.3099999999999999E-2</v>
      </c>
      <c r="D150">
        <v>0.36980000000000002</v>
      </c>
      <c r="E150">
        <v>606414.86</v>
      </c>
      <c r="F150">
        <f t="shared" si="4"/>
        <v>5180.2261717667998</v>
      </c>
      <c r="G150">
        <v>5180.2299999999996</v>
      </c>
      <c r="H150">
        <f t="shared" si="5"/>
        <v>-3.8282331997834262E-3</v>
      </c>
    </row>
    <row r="151" spans="1:8" x14ac:dyDescent="0.3">
      <c r="A151" t="str">
        <v>ZAAUTO2024-1-00148</v>
      </c>
      <c r="B151">
        <v>3</v>
      </c>
      <c r="C151">
        <v>0.67989999999999995</v>
      </c>
      <c r="D151">
        <v>0.43830000000000002</v>
      </c>
      <c r="E151">
        <v>622288.56000000006</v>
      </c>
      <c r="F151">
        <f t="shared" si="4"/>
        <v>185442.09666905523</v>
      </c>
      <c r="G151">
        <v>185442.1</v>
      </c>
      <c r="H151">
        <f t="shared" si="5"/>
        <v>-3.330944775370881E-3</v>
      </c>
    </row>
    <row r="152" spans="1:8" x14ac:dyDescent="0.3">
      <c r="A152" t="str">
        <v>ZAAUTO2024-1-00149</v>
      </c>
      <c r="B152">
        <v>1</v>
      </c>
      <c r="C152">
        <v>1.8499999999999999E-2</v>
      </c>
      <c r="D152">
        <v>0.4642</v>
      </c>
      <c r="E152">
        <v>529676.61</v>
      </c>
      <c r="F152">
        <f t="shared" si="4"/>
        <v>4548.7038236970002</v>
      </c>
      <c r="G152">
        <v>4548.7</v>
      </c>
      <c r="H152">
        <f t="shared" si="5"/>
        <v>3.8236970003708848E-3</v>
      </c>
    </row>
    <row r="153" spans="1:8" x14ac:dyDescent="0.3">
      <c r="A153" t="str">
        <v>ZAAUTO2024-1-00150</v>
      </c>
      <c r="B153">
        <v>1</v>
      </c>
      <c r="C153">
        <v>2.46E-2</v>
      </c>
      <c r="D153">
        <v>0.43340000000000001</v>
      </c>
      <c r="E153">
        <v>304164.5</v>
      </c>
      <c r="F153">
        <f t="shared" si="4"/>
        <v>3242.8923997799998</v>
      </c>
      <c r="G153">
        <v>3242.89</v>
      </c>
      <c r="H153">
        <f t="shared" si="5"/>
        <v>2.3997799999051495E-3</v>
      </c>
    </row>
    <row r="154" spans="1:8" x14ac:dyDescent="0.3">
      <c r="A154" t="str">
        <v>ZAAUTO2024-1-00151</v>
      </c>
      <c r="B154">
        <v>1</v>
      </c>
      <c r="C154">
        <v>1.7500000000000002E-2</v>
      </c>
      <c r="D154">
        <v>0.39040000000000002</v>
      </c>
      <c r="E154">
        <v>29708.95</v>
      </c>
      <c r="F154">
        <f t="shared" si="4"/>
        <v>202.97154640000005</v>
      </c>
      <c r="G154">
        <v>202.97</v>
      </c>
      <c r="H154">
        <f t="shared" si="5"/>
        <v>1.5464000000520173E-3</v>
      </c>
    </row>
    <row r="155" spans="1:8" x14ac:dyDescent="0.3">
      <c r="A155" t="str">
        <v>ZAAUTO2024-1-00152</v>
      </c>
      <c r="B155">
        <v>1</v>
      </c>
      <c r="C155">
        <v>2.3599999999999999E-2</v>
      </c>
      <c r="D155">
        <v>0.64970000000000006</v>
      </c>
      <c r="E155">
        <v>627536.81000000006</v>
      </c>
      <c r="F155">
        <f t="shared" si="4"/>
        <v>9621.9717047852027</v>
      </c>
      <c r="G155">
        <v>9621.9699999999993</v>
      </c>
      <c r="H155">
        <f t="shared" si="5"/>
        <v>1.7047852034011157E-3</v>
      </c>
    </row>
    <row r="156" spans="1:8" x14ac:dyDescent="0.3">
      <c r="A156" t="str">
        <v>ZAAUTO2024-1-00153</v>
      </c>
      <c r="B156">
        <v>1</v>
      </c>
      <c r="C156">
        <v>2.4E-2</v>
      </c>
      <c r="D156">
        <v>0.43980000000000002</v>
      </c>
      <c r="E156">
        <v>354483.42</v>
      </c>
      <c r="F156">
        <f t="shared" si="4"/>
        <v>3741.6433947840001</v>
      </c>
      <c r="G156">
        <v>3741.64</v>
      </c>
      <c r="H156">
        <f t="shared" si="5"/>
        <v>3.3947840001928853E-3</v>
      </c>
    </row>
    <row r="157" spans="1:8" x14ac:dyDescent="0.3">
      <c r="A157" t="str">
        <v>ZAAUTO2024-1-00154</v>
      </c>
      <c r="B157">
        <v>1</v>
      </c>
      <c r="C157">
        <v>1.8499999999999999E-2</v>
      </c>
      <c r="D157">
        <v>0.36120000000000002</v>
      </c>
      <c r="E157">
        <v>342882.36</v>
      </c>
      <c r="F157">
        <f t="shared" si="4"/>
        <v>2291.208505992</v>
      </c>
      <c r="G157">
        <v>2291.21</v>
      </c>
      <c r="H157">
        <f t="shared" si="5"/>
        <v>-1.4940080000087619E-3</v>
      </c>
    </row>
    <row r="158" spans="1:8" x14ac:dyDescent="0.3">
      <c r="A158" t="str">
        <v>ZAAUTO2024-1-00155</v>
      </c>
      <c r="B158">
        <v>2</v>
      </c>
      <c r="C158">
        <v>0.13</v>
      </c>
      <c r="D158">
        <v>0.41299999999999998</v>
      </c>
      <c r="E158">
        <v>835521.02</v>
      </c>
      <c r="F158">
        <f t="shared" si="4"/>
        <v>44859.1235638</v>
      </c>
      <c r="G158">
        <v>44859.12</v>
      </c>
      <c r="H158">
        <f t="shared" si="5"/>
        <v>3.5637999972095713E-3</v>
      </c>
    </row>
    <row r="159" spans="1:8" x14ac:dyDescent="0.3">
      <c r="A159" t="str">
        <v>ZAAUTO2024-1-00156</v>
      </c>
      <c r="B159">
        <v>1</v>
      </c>
      <c r="C159">
        <v>1.8700000000000001E-2</v>
      </c>
      <c r="D159">
        <v>0.56140000000000001</v>
      </c>
      <c r="E159">
        <v>459625</v>
      </c>
      <c r="F159">
        <f t="shared" si="4"/>
        <v>4825.2259825000001</v>
      </c>
      <c r="G159">
        <v>4825.2299999999996</v>
      </c>
      <c r="H159">
        <f t="shared" si="5"/>
        <v>-4.0174999994633254E-3</v>
      </c>
    </row>
    <row r="160" spans="1:8" x14ac:dyDescent="0.3">
      <c r="A160" t="str">
        <v>ZAAUTO2024-1-00157</v>
      </c>
      <c r="B160">
        <v>2</v>
      </c>
      <c r="C160">
        <v>0.11849999999999999</v>
      </c>
      <c r="D160">
        <v>0.60370000000000001</v>
      </c>
      <c r="E160">
        <v>786972.29</v>
      </c>
      <c r="F160">
        <f t="shared" si="4"/>
        <v>56298.777819550509</v>
      </c>
      <c r="G160">
        <v>56298.78</v>
      </c>
      <c r="H160">
        <f t="shared" si="5"/>
        <v>-2.1804494899697602E-3</v>
      </c>
    </row>
    <row r="161" spans="1:8" x14ac:dyDescent="0.3">
      <c r="A161" t="str">
        <v>ZAAUTO2024-1-00158</v>
      </c>
      <c r="B161">
        <v>1</v>
      </c>
      <c r="C161">
        <v>1.7899999999999999E-2</v>
      </c>
      <c r="D161">
        <v>0.37930000000000003</v>
      </c>
      <c r="E161">
        <v>1672725.37</v>
      </c>
      <c r="F161">
        <f t="shared" si="4"/>
        <v>11356.918717853901</v>
      </c>
      <c r="G161">
        <v>11356.92</v>
      </c>
      <c r="H161">
        <f t="shared" si="5"/>
        <v>-1.282146098674275E-3</v>
      </c>
    </row>
    <row r="162" spans="1:8" x14ac:dyDescent="0.3">
      <c r="A162" t="str">
        <v>ZAAUTO2024-1-00159</v>
      </c>
      <c r="B162">
        <v>1</v>
      </c>
      <c r="C162">
        <v>2.4199999999999999E-2</v>
      </c>
      <c r="D162">
        <v>0.60580000000000001</v>
      </c>
      <c r="E162">
        <v>1597335.99</v>
      </c>
      <c r="F162">
        <f t="shared" si="4"/>
        <v>23417.520654356398</v>
      </c>
      <c r="G162">
        <v>23417.52</v>
      </c>
      <c r="H162">
        <f t="shared" si="5"/>
        <v>6.5435639771749265E-4</v>
      </c>
    </row>
    <row r="163" spans="1:8" x14ac:dyDescent="0.3">
      <c r="A163" t="str">
        <v>ZAAUTO2024-1-00160</v>
      </c>
      <c r="B163">
        <v>1</v>
      </c>
      <c r="C163">
        <v>2.2700000000000001E-2</v>
      </c>
      <c r="D163">
        <v>0.496</v>
      </c>
      <c r="E163">
        <v>619782.40000000002</v>
      </c>
      <c r="F163">
        <f t="shared" si="4"/>
        <v>6978.2539980800002</v>
      </c>
      <c r="G163">
        <v>6978.25</v>
      </c>
      <c r="H163">
        <f t="shared" si="5"/>
        <v>3.9980800002012984E-3</v>
      </c>
    </row>
    <row r="164" spans="1:8" x14ac:dyDescent="0.3">
      <c r="A164" t="str">
        <v>ZAAUTO2024-1-00161</v>
      </c>
      <c r="B164">
        <v>2</v>
      </c>
      <c r="C164">
        <v>0.1366</v>
      </c>
      <c r="D164">
        <v>0.50790000000000002</v>
      </c>
      <c r="E164">
        <v>932231.7</v>
      </c>
      <c r="F164">
        <f t="shared" si="4"/>
        <v>64677.433626737999</v>
      </c>
      <c r="G164">
        <v>64677.43</v>
      </c>
      <c r="H164">
        <f t="shared" si="5"/>
        <v>3.6267379982746206E-3</v>
      </c>
    </row>
    <row r="165" spans="1:8" x14ac:dyDescent="0.3">
      <c r="A165" t="str">
        <v>ZAAUTO2024-1-00162</v>
      </c>
      <c r="B165">
        <v>1</v>
      </c>
      <c r="C165">
        <v>2.1600000000000001E-2</v>
      </c>
      <c r="D165">
        <v>0.52339999999999998</v>
      </c>
      <c r="E165">
        <v>568907.16</v>
      </c>
      <c r="F165">
        <f t="shared" si="4"/>
        <v>6431.7457629504006</v>
      </c>
      <c r="G165">
        <v>6431.75</v>
      </c>
      <c r="H165">
        <f t="shared" si="5"/>
        <v>-4.2370495993964141E-3</v>
      </c>
    </row>
    <row r="166" spans="1:8" x14ac:dyDescent="0.3">
      <c r="A166" t="str">
        <v>ZAAUTO2024-1-00163</v>
      </c>
      <c r="B166">
        <v>1</v>
      </c>
      <c r="C166">
        <v>2.1100000000000001E-2</v>
      </c>
      <c r="D166">
        <v>0.59650000000000003</v>
      </c>
      <c r="E166">
        <v>435170.01</v>
      </c>
      <c r="F166">
        <f t="shared" si="4"/>
        <v>5477.1150213615001</v>
      </c>
      <c r="G166">
        <v>5477.12</v>
      </c>
      <c r="H166">
        <f t="shared" si="5"/>
        <v>-4.9786384997787536E-3</v>
      </c>
    </row>
    <row r="167" spans="1:8" x14ac:dyDescent="0.3">
      <c r="A167" t="str">
        <v>ZAAUTO2024-1-00164</v>
      </c>
      <c r="B167">
        <v>1</v>
      </c>
      <c r="C167">
        <v>2.2100000000000002E-2</v>
      </c>
      <c r="D167">
        <v>0.63849999999999996</v>
      </c>
      <c r="E167">
        <v>36532</v>
      </c>
      <c r="F167">
        <f t="shared" si="4"/>
        <v>515.49757220000004</v>
      </c>
      <c r="G167">
        <v>515.5</v>
      </c>
      <c r="H167">
        <f t="shared" si="5"/>
        <v>-2.4277999999640087E-3</v>
      </c>
    </row>
    <row r="168" spans="1:8" x14ac:dyDescent="0.3">
      <c r="A168" t="str">
        <v>ZAAUTO2024-1-00165</v>
      </c>
      <c r="B168">
        <v>1</v>
      </c>
      <c r="C168">
        <v>1.44E-2</v>
      </c>
      <c r="D168">
        <v>0.53580000000000005</v>
      </c>
      <c r="E168">
        <v>741611.35</v>
      </c>
      <c r="F168">
        <f t="shared" si="4"/>
        <v>5721.9172031520002</v>
      </c>
      <c r="G168">
        <v>5721.92</v>
      </c>
      <c r="H168">
        <f t="shared" si="5"/>
        <v>-2.7968479998889961E-3</v>
      </c>
    </row>
    <row r="169" spans="1:8" x14ac:dyDescent="0.3">
      <c r="A169" t="str">
        <v>ZAAUTO2024-1-00166</v>
      </c>
      <c r="B169">
        <v>1</v>
      </c>
      <c r="C169">
        <v>1.61E-2</v>
      </c>
      <c r="D169">
        <v>0.49759999999999999</v>
      </c>
      <c r="E169">
        <v>0</v>
      </c>
      <c r="F169">
        <f t="shared" si="4"/>
        <v>0</v>
      </c>
      <c r="G169">
        <v>0</v>
      </c>
      <c r="H169">
        <f t="shared" si="5"/>
        <v>0</v>
      </c>
    </row>
    <row r="170" spans="1:8" x14ac:dyDescent="0.3">
      <c r="A170" t="str">
        <v>ZAAUTO2024-1-00167</v>
      </c>
      <c r="B170">
        <v>1</v>
      </c>
      <c r="C170">
        <v>2.0799999999999999E-2</v>
      </c>
      <c r="D170">
        <v>0.63049999999999995</v>
      </c>
      <c r="E170">
        <v>0</v>
      </c>
      <c r="F170">
        <f t="shared" si="4"/>
        <v>0</v>
      </c>
      <c r="G170">
        <v>0</v>
      </c>
      <c r="H170">
        <f t="shared" si="5"/>
        <v>0</v>
      </c>
    </row>
    <row r="171" spans="1:8" x14ac:dyDescent="0.3">
      <c r="A171" t="str">
        <v>ZAAUTO2024-1-00168</v>
      </c>
      <c r="B171">
        <v>1</v>
      </c>
      <c r="C171">
        <v>0.02</v>
      </c>
      <c r="D171">
        <v>0.63949999999999996</v>
      </c>
      <c r="E171">
        <v>633356.86</v>
      </c>
      <c r="F171">
        <f t="shared" si="4"/>
        <v>8100.6342393999994</v>
      </c>
      <c r="G171">
        <v>8100.63</v>
      </c>
      <c r="H171">
        <f t="shared" si="5"/>
        <v>4.2393999992782483E-3</v>
      </c>
    </row>
    <row r="172" spans="1:8" x14ac:dyDescent="0.3">
      <c r="A172" t="str">
        <v>ZAAUTO2024-1-00169</v>
      </c>
      <c r="B172">
        <v>1</v>
      </c>
      <c r="C172">
        <v>2.3800000000000002E-2</v>
      </c>
      <c r="D172">
        <v>0.38190000000000002</v>
      </c>
      <c r="E172">
        <v>90951.95</v>
      </c>
      <c r="F172">
        <f t="shared" si="4"/>
        <v>826.68228297899998</v>
      </c>
      <c r="G172">
        <v>826.68</v>
      </c>
      <c r="H172">
        <f t="shared" si="5"/>
        <v>2.2829790000287176E-3</v>
      </c>
    </row>
    <row r="173" spans="1:8" x14ac:dyDescent="0.3">
      <c r="A173" t="str">
        <v>ZAAUTO2024-1-00170</v>
      </c>
      <c r="B173">
        <v>2</v>
      </c>
      <c r="C173">
        <v>0.114</v>
      </c>
      <c r="D173">
        <v>0.59219999999999995</v>
      </c>
      <c r="E173">
        <v>1164470.3999999999</v>
      </c>
      <c r="F173">
        <f t="shared" si="4"/>
        <v>78614.328280319984</v>
      </c>
      <c r="G173">
        <v>78614.33</v>
      </c>
      <c r="H173">
        <f t="shared" si="5"/>
        <v>-1.7196800181409344E-3</v>
      </c>
    </row>
    <row r="174" spans="1:8" x14ac:dyDescent="0.3">
      <c r="A174" t="str">
        <v>ZAAUTO2024-1-00171</v>
      </c>
      <c r="B174">
        <v>1</v>
      </c>
      <c r="C174">
        <v>0.02</v>
      </c>
      <c r="D174">
        <v>0.39789999999999998</v>
      </c>
      <c r="E174">
        <v>631807.88</v>
      </c>
      <c r="F174">
        <f t="shared" si="4"/>
        <v>5027.9271090399998</v>
      </c>
      <c r="G174">
        <v>5027.93</v>
      </c>
      <c r="H174">
        <f t="shared" si="5"/>
        <v>-2.8909600005135871E-3</v>
      </c>
    </row>
    <row r="175" spans="1:8" x14ac:dyDescent="0.3">
      <c r="A175" t="str">
        <v>ZAAUTO2024-1-00172</v>
      </c>
      <c r="B175">
        <v>1</v>
      </c>
      <c r="C175">
        <v>1.47E-2</v>
      </c>
      <c r="D175">
        <v>0.48080000000000001</v>
      </c>
      <c r="E175">
        <v>569338.31000000006</v>
      </c>
      <c r="F175">
        <f t="shared" si="4"/>
        <v>4023.9465338856007</v>
      </c>
      <c r="G175">
        <v>4023.95</v>
      </c>
      <c r="H175">
        <f t="shared" si="5"/>
        <v>-3.4661143990888377E-3</v>
      </c>
    </row>
    <row r="176" spans="1:8" x14ac:dyDescent="0.3">
      <c r="A176" t="str">
        <v>ZAAUTO2024-1-00173</v>
      </c>
      <c r="B176">
        <v>3</v>
      </c>
      <c r="C176">
        <v>0.72140000000000004</v>
      </c>
      <c r="D176">
        <v>0.4803</v>
      </c>
      <c r="E176">
        <v>98886.98</v>
      </c>
      <c r="F176">
        <f t="shared" si="4"/>
        <v>34263.193458771602</v>
      </c>
      <c r="G176">
        <v>34263.19</v>
      </c>
      <c r="H176">
        <f t="shared" si="5"/>
        <v>3.4587715999805368E-3</v>
      </c>
    </row>
    <row r="177" spans="1:8" x14ac:dyDescent="0.3">
      <c r="A177" t="str">
        <v>ZAAUTO2024-1-00174</v>
      </c>
      <c r="B177">
        <v>1</v>
      </c>
      <c r="C177">
        <v>2.4299999999999999E-2</v>
      </c>
      <c r="D177">
        <v>0.57420000000000004</v>
      </c>
      <c r="E177">
        <v>242714.77</v>
      </c>
      <c r="F177">
        <f t="shared" si="4"/>
        <v>3386.6137486961998</v>
      </c>
      <c r="G177">
        <v>3386.61</v>
      </c>
      <c r="H177">
        <f t="shared" si="5"/>
        <v>3.7486961996364698E-3</v>
      </c>
    </row>
    <row r="178" spans="1:8" x14ac:dyDescent="0.3">
      <c r="A178" t="str">
        <v>ZAAUTO2024-1-00175</v>
      </c>
      <c r="B178">
        <v>2</v>
      </c>
      <c r="C178">
        <v>0.13070000000000001</v>
      </c>
      <c r="D178">
        <v>0.5615</v>
      </c>
      <c r="E178">
        <v>423539.99</v>
      </c>
      <c r="F178">
        <f t="shared" si="4"/>
        <v>31082.773963119504</v>
      </c>
      <c r="G178">
        <v>31082.77</v>
      </c>
      <c r="H178">
        <f t="shared" si="5"/>
        <v>3.9631195031688549E-3</v>
      </c>
    </row>
    <row r="179" spans="1:8" x14ac:dyDescent="0.3">
      <c r="A179" t="str">
        <v>ZAAUTO2024-1-00176</v>
      </c>
      <c r="B179">
        <v>1</v>
      </c>
      <c r="C179">
        <v>2.5499999999999998E-2</v>
      </c>
      <c r="D179">
        <v>0.37309999999999999</v>
      </c>
      <c r="E179">
        <v>1292055.2</v>
      </c>
      <c r="F179">
        <f t="shared" si="4"/>
        <v>12292.67777556</v>
      </c>
      <c r="G179">
        <v>12292.68</v>
      </c>
      <c r="H179">
        <f t="shared" si="5"/>
        <v>-2.2244400006456999E-3</v>
      </c>
    </row>
    <row r="180" spans="1:8" x14ac:dyDescent="0.3">
      <c r="A180" t="str">
        <v>ZAAUTO2024-1-00177</v>
      </c>
      <c r="B180">
        <v>1</v>
      </c>
      <c r="C180">
        <v>2.4799999999999999E-2</v>
      </c>
      <c r="D180">
        <v>0.44190000000000002</v>
      </c>
      <c r="E180">
        <v>532274.97</v>
      </c>
      <c r="F180">
        <f t="shared" si="4"/>
        <v>5833.2652692263991</v>
      </c>
      <c r="G180">
        <v>5833.27</v>
      </c>
      <c r="H180">
        <f t="shared" si="5"/>
        <v>-4.7307736012953683E-3</v>
      </c>
    </row>
    <row r="181" spans="1:8" x14ac:dyDescent="0.3">
      <c r="A181" t="str">
        <v>ZAAUTO2024-1-00178</v>
      </c>
      <c r="B181">
        <v>1</v>
      </c>
      <c r="C181">
        <v>1.8499999999999999E-2</v>
      </c>
      <c r="D181">
        <v>0.51200000000000001</v>
      </c>
      <c r="E181">
        <v>518426.6</v>
      </c>
      <c r="F181">
        <f t="shared" si="4"/>
        <v>4910.5367551999998</v>
      </c>
      <c r="G181">
        <v>4910.54</v>
      </c>
      <c r="H181">
        <f t="shared" si="5"/>
        <v>-3.2448000001750188E-3</v>
      </c>
    </row>
    <row r="182" spans="1:8" x14ac:dyDescent="0.3">
      <c r="A182" t="str">
        <v>ZAAUTO2024-1-00179</v>
      </c>
      <c r="B182">
        <v>1</v>
      </c>
      <c r="C182">
        <v>2.1000000000000001E-2</v>
      </c>
      <c r="D182">
        <v>0.41660000000000003</v>
      </c>
      <c r="E182">
        <v>508484.69</v>
      </c>
      <c r="F182">
        <f t="shared" si="4"/>
        <v>4448.5291589340004</v>
      </c>
      <c r="G182">
        <v>4448.53</v>
      </c>
      <c r="H182">
        <f t="shared" si="5"/>
        <v>-8.4106599933875259E-4</v>
      </c>
    </row>
    <row r="183" spans="1:8" x14ac:dyDescent="0.3">
      <c r="A183" t="str">
        <v>ZAAUTO2024-1-00180</v>
      </c>
      <c r="B183">
        <v>3</v>
      </c>
      <c r="C183">
        <v>0.66620000000000001</v>
      </c>
      <c r="D183">
        <v>0.5262</v>
      </c>
      <c r="E183">
        <v>541049.75</v>
      </c>
      <c r="F183">
        <f t="shared" si="4"/>
        <v>189667.39212339002</v>
      </c>
      <c r="G183">
        <v>189667.39</v>
      </c>
      <c r="H183">
        <f t="shared" si="5"/>
        <v>2.1233900042716414E-3</v>
      </c>
    </row>
    <row r="184" spans="1:8" x14ac:dyDescent="0.3">
      <c r="A184" t="str">
        <v>ZAAUTO2024-1-00181</v>
      </c>
      <c r="B184">
        <v>1</v>
      </c>
      <c r="C184">
        <v>1.6199999999999999E-2</v>
      </c>
      <c r="D184">
        <v>0.622</v>
      </c>
      <c r="E184">
        <v>560786.77</v>
      </c>
      <c r="F184">
        <f t="shared" si="4"/>
        <v>5650.7118092279998</v>
      </c>
      <c r="G184">
        <v>5650.71</v>
      </c>
      <c r="H184">
        <f t="shared" si="5"/>
        <v>1.8092279997290461E-3</v>
      </c>
    </row>
    <row r="185" spans="1:8" x14ac:dyDescent="0.3">
      <c r="A185" t="str">
        <v>ZAAUTO2024-1-00182</v>
      </c>
      <c r="B185">
        <v>1</v>
      </c>
      <c r="C185">
        <v>2.0199999999999999E-2</v>
      </c>
      <c r="D185">
        <v>0.57989999999999997</v>
      </c>
      <c r="E185">
        <v>2673046.67</v>
      </c>
      <c r="F185">
        <f t="shared" si="4"/>
        <v>31312.015231446596</v>
      </c>
      <c r="G185">
        <v>31312.02</v>
      </c>
      <c r="H185">
        <f t="shared" si="5"/>
        <v>-4.7685534045740496E-3</v>
      </c>
    </row>
    <row r="186" spans="1:8" x14ac:dyDescent="0.3">
      <c r="A186" t="str">
        <v>ZAAUTO2024-1-00183</v>
      </c>
      <c r="B186">
        <v>1</v>
      </c>
      <c r="C186">
        <v>1.9E-2</v>
      </c>
      <c r="D186">
        <v>0.62480000000000002</v>
      </c>
      <c r="E186">
        <v>400728.92</v>
      </c>
      <c r="F186">
        <f t="shared" si="4"/>
        <v>4757.1331551040003</v>
      </c>
      <c r="G186">
        <v>4757.13</v>
      </c>
      <c r="H186">
        <f t="shared" si="5"/>
        <v>3.1551040001431829E-3</v>
      </c>
    </row>
    <row r="187" spans="1:8" x14ac:dyDescent="0.3">
      <c r="A187" t="str">
        <v>ZAAUTO2024-1-00184</v>
      </c>
      <c r="B187">
        <v>1</v>
      </c>
      <c r="C187">
        <v>1.9599999999999999E-2</v>
      </c>
      <c r="D187">
        <v>0.62260000000000004</v>
      </c>
      <c r="E187">
        <v>521335.49</v>
      </c>
      <c r="F187">
        <f t="shared" si="4"/>
        <v>6361.8361310504006</v>
      </c>
      <c r="G187">
        <v>6361.84</v>
      </c>
      <c r="H187">
        <f t="shared" si="5"/>
        <v>-3.8689495995640755E-3</v>
      </c>
    </row>
    <row r="188" spans="1:8" x14ac:dyDescent="0.3">
      <c r="A188" t="str">
        <v>ZAAUTO2024-1-00185</v>
      </c>
      <c r="B188">
        <v>1</v>
      </c>
      <c r="C188">
        <v>2.5000000000000001E-2</v>
      </c>
      <c r="D188">
        <v>0.60540000000000005</v>
      </c>
      <c r="E188">
        <v>185688.35</v>
      </c>
      <c r="F188">
        <f t="shared" si="4"/>
        <v>2810.3931772500005</v>
      </c>
      <c r="G188">
        <v>2810.39</v>
      </c>
      <c r="H188">
        <f t="shared" si="5"/>
        <v>3.1772500005899929E-3</v>
      </c>
    </row>
    <row r="189" spans="1:8" x14ac:dyDescent="0.3">
      <c r="A189" t="str">
        <v>ZAAUTO2024-1-00186</v>
      </c>
      <c r="B189">
        <v>1</v>
      </c>
      <c r="C189">
        <v>1.6299999999999999E-2</v>
      </c>
      <c r="D189">
        <v>0.37090000000000001</v>
      </c>
      <c r="E189">
        <v>472764.93</v>
      </c>
      <c r="F189">
        <f t="shared" si="4"/>
        <v>2858.1807543530999</v>
      </c>
      <c r="G189">
        <v>2858.18</v>
      </c>
      <c r="H189">
        <f t="shared" si="5"/>
        <v>7.5435310009197565E-4</v>
      </c>
    </row>
    <row r="190" spans="1:8" x14ac:dyDescent="0.3">
      <c r="A190" t="str">
        <v>ZAAUTO2024-1-00187</v>
      </c>
      <c r="B190">
        <v>1</v>
      </c>
      <c r="C190">
        <v>1.83E-2</v>
      </c>
      <c r="D190">
        <v>0.55000000000000004</v>
      </c>
      <c r="E190">
        <v>272865.23</v>
      </c>
      <c r="F190">
        <f t="shared" si="4"/>
        <v>2746.38853995</v>
      </c>
      <c r="G190">
        <v>2746.39</v>
      </c>
      <c r="H190">
        <f t="shared" si="5"/>
        <v>-1.4600499998778105E-3</v>
      </c>
    </row>
    <row r="191" spans="1:8" x14ac:dyDescent="0.3">
      <c r="A191" t="str">
        <v>ZAAUTO2024-1-00188</v>
      </c>
      <c r="B191">
        <v>1</v>
      </c>
      <c r="C191">
        <v>2.5399999999999999E-2</v>
      </c>
      <c r="D191">
        <v>0.35949999999999999</v>
      </c>
      <c r="E191">
        <v>325086.02</v>
      </c>
      <c r="F191">
        <f t="shared" si="4"/>
        <v>2968.4579744259995</v>
      </c>
      <c r="G191">
        <v>2968.46</v>
      </c>
      <c r="H191">
        <f t="shared" si="5"/>
        <v>-2.0255740005268308E-3</v>
      </c>
    </row>
    <row r="192" spans="1:8" x14ac:dyDescent="0.3">
      <c r="A192" t="str">
        <v>ZAAUTO2024-1-00189</v>
      </c>
      <c r="B192">
        <v>1</v>
      </c>
      <c r="C192">
        <v>2.3199999999999998E-2</v>
      </c>
      <c r="D192">
        <v>0.43530000000000002</v>
      </c>
      <c r="E192">
        <v>853290.46</v>
      </c>
      <c r="F192">
        <f t="shared" si="4"/>
        <v>8617.3462239216005</v>
      </c>
      <c r="G192">
        <v>8617.35</v>
      </c>
      <c r="H192">
        <f t="shared" si="5"/>
        <v>-3.7760783998237457E-3</v>
      </c>
    </row>
    <row r="193" spans="1:8" x14ac:dyDescent="0.3">
      <c r="A193" t="str">
        <v>ZAAUTO2024-1-00190</v>
      </c>
      <c r="B193">
        <v>1</v>
      </c>
      <c r="C193">
        <v>1.7899999999999999E-2</v>
      </c>
      <c r="D193">
        <v>0.37930000000000003</v>
      </c>
      <c r="E193">
        <v>683243.65</v>
      </c>
      <c r="F193">
        <f t="shared" si="4"/>
        <v>4638.8622643655008</v>
      </c>
      <c r="G193">
        <v>4638.8599999999997</v>
      </c>
      <c r="H193">
        <f t="shared" si="5"/>
        <v>2.2643655011052033E-3</v>
      </c>
    </row>
    <row r="194" spans="1:8" x14ac:dyDescent="0.3">
      <c r="A194" t="str">
        <v>ZAAUTO2024-1-00191</v>
      </c>
      <c r="B194">
        <v>1</v>
      </c>
      <c r="C194">
        <v>2.01E-2</v>
      </c>
      <c r="D194">
        <v>0.44</v>
      </c>
      <c r="E194">
        <v>477011.67</v>
      </c>
      <c r="F194">
        <f t="shared" si="4"/>
        <v>4218.69120948</v>
      </c>
      <c r="G194">
        <v>4218.6899999999996</v>
      </c>
      <c r="H194">
        <f t="shared" si="5"/>
        <v>1.2094800003978889E-3</v>
      </c>
    </row>
    <row r="195" spans="1:8" x14ac:dyDescent="0.3">
      <c r="A195" t="str">
        <v>ZAAUTO2024-1-00192</v>
      </c>
      <c r="B195">
        <v>1</v>
      </c>
      <c r="C195">
        <v>2.4199999999999999E-2</v>
      </c>
      <c r="D195">
        <v>0.43009999999999998</v>
      </c>
      <c r="E195">
        <v>1115492.31</v>
      </c>
      <c r="F195">
        <f t="shared" si="4"/>
        <v>11610.5124692502</v>
      </c>
      <c r="G195">
        <v>11610.51</v>
      </c>
      <c r="H195">
        <f t="shared" si="5"/>
        <v>2.4692501992831239E-3</v>
      </c>
    </row>
    <row r="196" spans="1:8" x14ac:dyDescent="0.3">
      <c r="A196" t="str">
        <v>ZAAUTO2024-1-00193</v>
      </c>
      <c r="B196">
        <v>1</v>
      </c>
      <c r="C196">
        <v>2.53E-2</v>
      </c>
      <c r="D196">
        <v>0.56730000000000003</v>
      </c>
      <c r="E196">
        <v>0</v>
      </c>
      <c r="F196">
        <f t="shared" si="4"/>
        <v>0</v>
      </c>
      <c r="G196">
        <v>0</v>
      </c>
      <c r="H196">
        <f t="shared" si="5"/>
        <v>0</v>
      </c>
    </row>
    <row r="197" spans="1:8" x14ac:dyDescent="0.3">
      <c r="A197" t="str">
        <v>ZAAUTO2024-1-00194</v>
      </c>
      <c r="B197">
        <v>1</v>
      </c>
      <c r="C197">
        <v>2.0500000000000001E-2</v>
      </c>
      <c r="D197">
        <v>0.49249999999999999</v>
      </c>
      <c r="E197">
        <v>319260.65000000002</v>
      </c>
      <c r="F197">
        <f t="shared" ref="F197:F260" si="6">MAX(0, C197*D197*E197)</f>
        <v>3223.3353375625006</v>
      </c>
      <c r="G197">
        <v>3223.34</v>
      </c>
      <c r="H197">
        <f t="shared" ref="H197:H260" si="7">F197-G197</f>
        <v>-4.662437499519001E-3</v>
      </c>
    </row>
    <row r="198" spans="1:8" x14ac:dyDescent="0.3">
      <c r="A198" t="str">
        <v>ZAAUTO2024-1-00195</v>
      </c>
      <c r="B198">
        <v>2</v>
      </c>
      <c r="C198">
        <v>0.14080000000000001</v>
      </c>
      <c r="D198">
        <v>0.43219999999999997</v>
      </c>
      <c r="E198">
        <v>378219.31</v>
      </c>
      <c r="F198">
        <f t="shared" si="6"/>
        <v>23016.067118105599</v>
      </c>
      <c r="G198">
        <v>23016.07</v>
      </c>
      <c r="H198">
        <f t="shared" si="7"/>
        <v>-2.8818944010708947E-3</v>
      </c>
    </row>
    <row r="199" spans="1:8" x14ac:dyDescent="0.3">
      <c r="A199" t="str">
        <v>ZAAUTO2024-1-00196</v>
      </c>
      <c r="B199">
        <v>1</v>
      </c>
      <c r="C199">
        <v>2.4199999999999999E-2</v>
      </c>
      <c r="D199">
        <v>0.55569999999999997</v>
      </c>
      <c r="E199">
        <v>283683.65000000002</v>
      </c>
      <c r="F199">
        <f t="shared" si="6"/>
        <v>3814.960704181</v>
      </c>
      <c r="G199">
        <v>3814.96</v>
      </c>
      <c r="H199">
        <f t="shared" si="7"/>
        <v>7.0418099994640215E-4</v>
      </c>
    </row>
    <row r="200" spans="1:8" x14ac:dyDescent="0.3">
      <c r="A200" t="str">
        <v>ZAAUTO2024-1-00197</v>
      </c>
      <c r="B200">
        <v>1</v>
      </c>
      <c r="C200">
        <v>2.2599999999999999E-2</v>
      </c>
      <c r="D200">
        <v>0.48049999999999998</v>
      </c>
      <c r="E200">
        <v>247040.19</v>
      </c>
      <c r="F200">
        <f t="shared" si="6"/>
        <v>2682.6835352669996</v>
      </c>
      <c r="G200">
        <v>2682.68</v>
      </c>
      <c r="H200">
        <f t="shared" si="7"/>
        <v>3.5352669997337216E-3</v>
      </c>
    </row>
    <row r="201" spans="1:8" x14ac:dyDescent="0.3">
      <c r="A201" t="str">
        <v>ZAAUTO2024-1-00198</v>
      </c>
      <c r="B201">
        <v>1</v>
      </c>
      <c r="C201">
        <v>2.2200000000000001E-2</v>
      </c>
      <c r="D201">
        <v>0.56399999999999995</v>
      </c>
      <c r="E201">
        <v>329138.98</v>
      </c>
      <c r="F201">
        <f t="shared" si="6"/>
        <v>4121.0833407839991</v>
      </c>
      <c r="G201">
        <v>4121.08</v>
      </c>
      <c r="H201">
        <f t="shared" si="7"/>
        <v>3.3407839991923538E-3</v>
      </c>
    </row>
    <row r="202" spans="1:8" x14ac:dyDescent="0.3">
      <c r="A202" t="str">
        <v>ZAAUTO2024-1-00199</v>
      </c>
      <c r="B202">
        <v>1</v>
      </c>
      <c r="C202">
        <v>1.5699999999999999E-2</v>
      </c>
      <c r="D202">
        <v>0.3851</v>
      </c>
      <c r="E202">
        <v>217007.13</v>
      </c>
      <c r="F202">
        <f t="shared" si="6"/>
        <v>1312.0402984790999</v>
      </c>
      <c r="G202">
        <v>1312.04</v>
      </c>
      <c r="H202">
        <f t="shared" si="7"/>
        <v>2.9847909991076449E-4</v>
      </c>
    </row>
    <row r="203" spans="1:8" x14ac:dyDescent="0.3">
      <c r="A203" t="str">
        <v>ZAAUTO2024-1-00200</v>
      </c>
      <c r="B203">
        <v>1</v>
      </c>
      <c r="C203">
        <v>1.95E-2</v>
      </c>
      <c r="D203">
        <v>0.38369999999999999</v>
      </c>
      <c r="E203">
        <v>823246.13</v>
      </c>
      <c r="F203">
        <f t="shared" si="6"/>
        <v>6159.6510315795003</v>
      </c>
      <c r="G203">
        <v>6159.65</v>
      </c>
      <c r="H203">
        <f t="shared" si="7"/>
        <v>1.0315795007045381E-3</v>
      </c>
    </row>
    <row r="204" spans="1:8" x14ac:dyDescent="0.3">
      <c r="A204" t="str">
        <v>ZAAUTO2024-1-00201</v>
      </c>
      <c r="B204">
        <v>1</v>
      </c>
      <c r="C204">
        <v>2.4E-2</v>
      </c>
      <c r="D204">
        <v>0.54790000000000005</v>
      </c>
      <c r="E204">
        <v>620616.56999999995</v>
      </c>
      <c r="F204">
        <f t="shared" si="6"/>
        <v>8160.8596488719995</v>
      </c>
      <c r="G204">
        <v>8160.86</v>
      </c>
      <c r="H204">
        <f t="shared" si="7"/>
        <v>-3.511280001475825E-4</v>
      </c>
    </row>
    <row r="205" spans="1:8" x14ac:dyDescent="0.3">
      <c r="A205" t="str">
        <v>ZAAUTO2024-1-00202</v>
      </c>
      <c r="B205">
        <v>1</v>
      </c>
      <c r="C205">
        <v>2.4799999999999999E-2</v>
      </c>
      <c r="D205">
        <v>0.53110000000000002</v>
      </c>
      <c r="E205">
        <v>420283.82</v>
      </c>
      <c r="F205">
        <f t="shared" si="6"/>
        <v>5535.6758726896005</v>
      </c>
      <c r="G205">
        <v>5535.68</v>
      </c>
      <c r="H205">
        <f t="shared" si="7"/>
        <v>-4.1273103997809812E-3</v>
      </c>
    </row>
    <row r="206" spans="1:8" x14ac:dyDescent="0.3">
      <c r="A206" t="str">
        <v>ZAAUTO2024-1-00203</v>
      </c>
      <c r="B206">
        <v>1</v>
      </c>
      <c r="C206">
        <v>2.0299999999999999E-2</v>
      </c>
      <c r="D206">
        <v>0.43859999999999999</v>
      </c>
      <c r="E206">
        <v>1019620.05</v>
      </c>
      <c r="F206">
        <f t="shared" si="6"/>
        <v>9078.2686847789992</v>
      </c>
      <c r="G206">
        <v>9078.27</v>
      </c>
      <c r="H206">
        <f t="shared" si="7"/>
        <v>-1.3152210012776777E-3</v>
      </c>
    </row>
    <row r="207" spans="1:8" x14ac:dyDescent="0.3">
      <c r="A207" t="str">
        <v>ZAAUTO2024-1-00204</v>
      </c>
      <c r="B207">
        <v>1</v>
      </c>
      <c r="C207">
        <v>1.6199999999999999E-2</v>
      </c>
      <c r="D207">
        <v>0.57410000000000005</v>
      </c>
      <c r="E207">
        <v>595398.35</v>
      </c>
      <c r="F207">
        <f t="shared" si="6"/>
        <v>5537.4547223070003</v>
      </c>
      <c r="G207">
        <v>5537.45</v>
      </c>
      <c r="H207">
        <f t="shared" si="7"/>
        <v>4.7223070005202317E-3</v>
      </c>
    </row>
    <row r="208" spans="1:8" x14ac:dyDescent="0.3">
      <c r="A208" t="str">
        <v>ZAAUTO2024-1-00205</v>
      </c>
      <c r="B208">
        <v>1</v>
      </c>
      <c r="C208">
        <v>1.9699999999999999E-2</v>
      </c>
      <c r="D208">
        <v>0.35649999999999998</v>
      </c>
      <c r="E208">
        <v>635852.24</v>
      </c>
      <c r="F208">
        <f t="shared" si="6"/>
        <v>4465.6220741319994</v>
      </c>
      <c r="G208">
        <v>4465.62</v>
      </c>
      <c r="H208">
        <f t="shared" si="7"/>
        <v>2.0741319995067897E-3</v>
      </c>
    </row>
    <row r="209" spans="1:8" x14ac:dyDescent="0.3">
      <c r="A209" t="str">
        <v>ZAAUTO2024-1-00206</v>
      </c>
      <c r="B209">
        <v>1</v>
      </c>
      <c r="C209">
        <v>2.2599999999999999E-2</v>
      </c>
      <c r="D209">
        <v>0.50849999999999995</v>
      </c>
      <c r="E209">
        <v>905004.66</v>
      </c>
      <c r="F209">
        <f t="shared" si="6"/>
        <v>10400.404053185999</v>
      </c>
      <c r="G209">
        <v>10400.4</v>
      </c>
      <c r="H209">
        <f t="shared" si="7"/>
        <v>4.0531859995098785E-3</v>
      </c>
    </row>
    <row r="210" spans="1:8" x14ac:dyDescent="0.3">
      <c r="A210" t="str">
        <v>ZAAUTO2024-1-00207</v>
      </c>
      <c r="B210">
        <v>1</v>
      </c>
      <c r="C210">
        <v>1.7399999999999999E-2</v>
      </c>
      <c r="D210">
        <v>0.57479999999999998</v>
      </c>
      <c r="E210">
        <v>379528.39</v>
      </c>
      <c r="F210">
        <f t="shared" si="6"/>
        <v>3795.8607831527993</v>
      </c>
      <c r="G210">
        <v>3795.86</v>
      </c>
      <c r="H210">
        <f t="shared" si="7"/>
        <v>7.8315279915841529E-4</v>
      </c>
    </row>
    <row r="211" spans="1:8" x14ac:dyDescent="0.3">
      <c r="A211" t="str">
        <v>ZAAUTO2024-1-00208</v>
      </c>
      <c r="B211">
        <v>1</v>
      </c>
      <c r="C211">
        <v>2.4199999999999999E-2</v>
      </c>
      <c r="D211">
        <v>0.61209999999999998</v>
      </c>
      <c r="E211">
        <v>662385.06000000006</v>
      </c>
      <c r="F211">
        <f t="shared" si="6"/>
        <v>9811.7906644692011</v>
      </c>
      <c r="G211">
        <v>9811.7900000000009</v>
      </c>
      <c r="H211">
        <f t="shared" si="7"/>
        <v>6.644692002737429E-4</v>
      </c>
    </row>
    <row r="212" spans="1:8" x14ac:dyDescent="0.3">
      <c r="A212" t="str">
        <v>ZAAUTO2024-1-00209</v>
      </c>
      <c r="B212">
        <v>1</v>
      </c>
      <c r="C212">
        <v>1.8100000000000002E-2</v>
      </c>
      <c r="D212">
        <v>0.50149999999999995</v>
      </c>
      <c r="E212">
        <v>475928.99</v>
      </c>
      <c r="F212">
        <f t="shared" si="6"/>
        <v>4320.0788315784994</v>
      </c>
      <c r="G212">
        <v>4320.08</v>
      </c>
      <c r="H212">
        <f t="shared" si="7"/>
        <v>-1.1684215005516307E-3</v>
      </c>
    </row>
    <row r="213" spans="1:8" x14ac:dyDescent="0.3">
      <c r="A213" t="str">
        <v>ZAAUTO2024-1-00210</v>
      </c>
      <c r="B213">
        <v>1</v>
      </c>
      <c r="C213">
        <v>1.9E-2</v>
      </c>
      <c r="D213">
        <v>0.61570000000000003</v>
      </c>
      <c r="E213">
        <v>1787225.09</v>
      </c>
      <c r="F213">
        <f t="shared" si="6"/>
        <v>20907.495270347001</v>
      </c>
      <c r="G213">
        <v>20907.5</v>
      </c>
      <c r="H213">
        <f t="shared" si="7"/>
        <v>-4.7296529992308933E-3</v>
      </c>
    </row>
    <row r="214" spans="1:8" x14ac:dyDescent="0.3">
      <c r="A214" t="str">
        <v>ZAAUTO2024-1-00211</v>
      </c>
      <c r="B214">
        <v>1</v>
      </c>
      <c r="C214">
        <v>2.0299999999999999E-2</v>
      </c>
      <c r="D214">
        <v>0.57709999999999995</v>
      </c>
      <c r="E214">
        <v>1577393.84</v>
      </c>
      <c r="F214">
        <f t="shared" si="6"/>
        <v>18479.373896799199</v>
      </c>
      <c r="G214">
        <v>18479.37</v>
      </c>
      <c r="H214">
        <f t="shared" si="7"/>
        <v>3.8967992004472762E-3</v>
      </c>
    </row>
    <row r="215" spans="1:8" x14ac:dyDescent="0.3">
      <c r="A215" t="str">
        <v>ZAAUTO2024-1-00212</v>
      </c>
      <c r="B215">
        <v>1</v>
      </c>
      <c r="C215">
        <v>1.5299999999999999E-2</v>
      </c>
      <c r="D215">
        <v>0.50490000000000002</v>
      </c>
      <c r="E215">
        <v>806039.19</v>
      </c>
      <c r="F215">
        <f t="shared" si="6"/>
        <v>6226.6285615743</v>
      </c>
      <c r="G215">
        <v>6226.63</v>
      </c>
      <c r="H215">
        <f t="shared" si="7"/>
        <v>-1.4384257001438527E-3</v>
      </c>
    </row>
    <row r="216" spans="1:8" x14ac:dyDescent="0.3">
      <c r="A216" t="str">
        <v>ZAAUTO2024-1-00213</v>
      </c>
      <c r="B216">
        <v>1</v>
      </c>
      <c r="C216">
        <v>1.9699999999999999E-2</v>
      </c>
      <c r="D216">
        <v>0.57389999999999997</v>
      </c>
      <c r="E216">
        <v>373035.83</v>
      </c>
      <c r="F216">
        <f t="shared" si="6"/>
        <v>4217.4796778889004</v>
      </c>
      <c r="G216">
        <v>4217.4799999999996</v>
      </c>
      <c r="H216">
        <f t="shared" si="7"/>
        <v>-3.2211109919444425E-4</v>
      </c>
    </row>
    <row r="217" spans="1:8" x14ac:dyDescent="0.3">
      <c r="A217" t="str">
        <v>ZAAUTO2024-1-00214</v>
      </c>
      <c r="B217">
        <v>1</v>
      </c>
      <c r="C217">
        <v>2.4799999999999999E-2</v>
      </c>
      <c r="D217">
        <v>0.58440000000000003</v>
      </c>
      <c r="E217">
        <v>147377</v>
      </c>
      <c r="F217">
        <f t="shared" si="6"/>
        <v>2135.9525462400002</v>
      </c>
      <c r="G217">
        <v>2135.9499999999998</v>
      </c>
      <c r="H217">
        <f t="shared" si="7"/>
        <v>2.5462400003561925E-3</v>
      </c>
    </row>
    <row r="218" spans="1:8" x14ac:dyDescent="0.3">
      <c r="A218" t="str">
        <v>ZAAUTO2024-1-00215</v>
      </c>
      <c r="B218">
        <v>1</v>
      </c>
      <c r="C218">
        <v>1.6299999999999999E-2</v>
      </c>
      <c r="D218">
        <v>0.53559999999999997</v>
      </c>
      <c r="E218">
        <v>809963.32</v>
      </c>
      <c r="F218">
        <f t="shared" si="6"/>
        <v>7071.2065733295985</v>
      </c>
      <c r="G218">
        <v>7071.21</v>
      </c>
      <c r="H218">
        <f t="shared" si="7"/>
        <v>-3.4266704014953575E-3</v>
      </c>
    </row>
    <row r="219" spans="1:8" x14ac:dyDescent="0.3">
      <c r="A219" t="str">
        <v>ZAAUTO2024-1-00216</v>
      </c>
      <c r="B219">
        <v>1</v>
      </c>
      <c r="C219">
        <v>1.7399999999999999E-2</v>
      </c>
      <c r="D219">
        <v>0.40479999999999999</v>
      </c>
      <c r="E219">
        <v>1189686.7</v>
      </c>
      <c r="F219">
        <f t="shared" si="6"/>
        <v>8379.5820651839986</v>
      </c>
      <c r="G219">
        <v>8379.58</v>
      </c>
      <c r="H219">
        <f t="shared" si="7"/>
        <v>2.0651839986385312E-3</v>
      </c>
    </row>
    <row r="220" spans="1:8" x14ac:dyDescent="0.3">
      <c r="A220" t="str">
        <v>ZAAUTO2024-1-00217</v>
      </c>
      <c r="B220">
        <v>3</v>
      </c>
      <c r="C220">
        <v>0.87760000000000005</v>
      </c>
      <c r="D220">
        <v>0.52590000000000003</v>
      </c>
      <c r="E220">
        <v>829862.52</v>
      </c>
      <c r="F220">
        <f t="shared" si="6"/>
        <v>383006.31607759686</v>
      </c>
      <c r="G220">
        <v>383006.32</v>
      </c>
      <c r="H220">
        <f t="shared" si="7"/>
        <v>-3.9224031497724354E-3</v>
      </c>
    </row>
    <row r="221" spans="1:8" x14ac:dyDescent="0.3">
      <c r="A221" t="str">
        <v>ZAAUTO2024-1-00218</v>
      </c>
      <c r="B221">
        <v>1</v>
      </c>
      <c r="C221">
        <v>1.4500000000000001E-2</v>
      </c>
      <c r="D221">
        <v>0.57179999999999997</v>
      </c>
      <c r="E221">
        <v>985520.92</v>
      </c>
      <c r="F221">
        <f t="shared" si="6"/>
        <v>8171.0524998120009</v>
      </c>
      <c r="G221">
        <v>8171.05</v>
      </c>
      <c r="H221">
        <f t="shared" si="7"/>
        <v>2.499812000678503E-3</v>
      </c>
    </row>
    <row r="222" spans="1:8" x14ac:dyDescent="0.3">
      <c r="A222" t="str">
        <v>ZAAUTO2024-1-00219</v>
      </c>
      <c r="B222">
        <v>1</v>
      </c>
      <c r="C222">
        <v>2.3099999999999999E-2</v>
      </c>
      <c r="D222">
        <v>0.51139999999999997</v>
      </c>
      <c r="E222">
        <v>2275235.13</v>
      </c>
      <c r="F222">
        <f t="shared" si="6"/>
        <v>26878.126170634194</v>
      </c>
      <c r="G222">
        <v>26878.13</v>
      </c>
      <c r="H222">
        <f t="shared" si="7"/>
        <v>-3.8293658071779646E-3</v>
      </c>
    </row>
    <row r="223" spans="1:8" x14ac:dyDescent="0.3">
      <c r="A223" t="str">
        <v>ZAAUTO2024-1-00220</v>
      </c>
      <c r="B223">
        <v>1</v>
      </c>
      <c r="C223">
        <v>1.41E-2</v>
      </c>
      <c r="D223">
        <v>0.64529999999999998</v>
      </c>
      <c r="E223">
        <v>601823.91</v>
      </c>
      <c r="F223">
        <f t="shared" si="6"/>
        <v>5475.8332646342997</v>
      </c>
      <c r="G223">
        <v>5475.83</v>
      </c>
      <c r="H223">
        <f t="shared" si="7"/>
        <v>3.264634299739555E-3</v>
      </c>
    </row>
    <row r="224" spans="1:8" x14ac:dyDescent="0.3">
      <c r="A224" t="str">
        <v>ZAAUTO2024-1-00221</v>
      </c>
      <c r="B224">
        <v>1</v>
      </c>
      <c r="C224">
        <v>1.46E-2</v>
      </c>
      <c r="D224">
        <v>0.62549999999999994</v>
      </c>
      <c r="E224">
        <v>254393.18</v>
      </c>
      <c r="F224">
        <f t="shared" si="6"/>
        <v>2323.1948377139997</v>
      </c>
      <c r="G224">
        <v>2323.19</v>
      </c>
      <c r="H224">
        <f t="shared" si="7"/>
        <v>4.8377139996773622E-3</v>
      </c>
    </row>
    <row r="225" spans="1:8" x14ac:dyDescent="0.3">
      <c r="A225" t="str">
        <v>ZAAUTO2024-1-00222</v>
      </c>
      <c r="B225">
        <v>1</v>
      </c>
      <c r="C225">
        <v>2.0899999999999998E-2</v>
      </c>
      <c r="D225">
        <v>0.37569999999999998</v>
      </c>
      <c r="E225">
        <v>94884.93</v>
      </c>
      <c r="F225">
        <f t="shared" si="6"/>
        <v>745.04880540089982</v>
      </c>
      <c r="G225">
        <v>745.05</v>
      </c>
      <c r="H225">
        <f t="shared" si="7"/>
        <v>-1.1945991001311995E-3</v>
      </c>
    </row>
    <row r="226" spans="1:8" x14ac:dyDescent="0.3">
      <c r="A226" t="str">
        <v>ZAAUTO2024-1-00223</v>
      </c>
      <c r="B226">
        <v>1</v>
      </c>
      <c r="C226">
        <v>1.9400000000000001E-2</v>
      </c>
      <c r="D226">
        <v>0.44850000000000001</v>
      </c>
      <c r="E226">
        <v>687529.7</v>
      </c>
      <c r="F226">
        <f t="shared" si="6"/>
        <v>5982.1271667300007</v>
      </c>
      <c r="G226">
        <v>5982.13</v>
      </c>
      <c r="H226">
        <f t="shared" si="7"/>
        <v>-2.8332699994280119E-3</v>
      </c>
    </row>
    <row r="227" spans="1:8" x14ac:dyDescent="0.3">
      <c r="A227" t="str">
        <v>ZAAUTO2024-1-00224</v>
      </c>
      <c r="B227">
        <v>2</v>
      </c>
      <c r="C227">
        <v>8.8099999999999998E-2</v>
      </c>
      <c r="D227">
        <v>0.50209999999999999</v>
      </c>
      <c r="E227">
        <v>450738.25</v>
      </c>
      <c r="F227">
        <f t="shared" si="6"/>
        <v>19938.410996132498</v>
      </c>
      <c r="G227">
        <v>19938.41</v>
      </c>
      <c r="H227">
        <f t="shared" si="7"/>
        <v>9.9613249767571688E-4</v>
      </c>
    </row>
    <row r="228" spans="1:8" x14ac:dyDescent="0.3">
      <c r="A228" t="str">
        <v>ZAAUTO2024-1-00225</v>
      </c>
      <c r="B228">
        <v>1</v>
      </c>
      <c r="C228">
        <v>1.6500000000000001E-2</v>
      </c>
      <c r="D228">
        <v>0.40529999999999999</v>
      </c>
      <c r="E228">
        <v>1274891.46</v>
      </c>
      <c r="F228">
        <f t="shared" si="6"/>
        <v>8525.7728941770001</v>
      </c>
      <c r="G228">
        <v>8525.77</v>
      </c>
      <c r="H228">
        <f t="shared" si="7"/>
        <v>2.8941769996890798E-3</v>
      </c>
    </row>
    <row r="229" spans="1:8" x14ac:dyDescent="0.3">
      <c r="A229" t="str">
        <v>ZAAUTO2024-1-00226</v>
      </c>
      <c r="B229">
        <v>1</v>
      </c>
      <c r="C229">
        <v>2.53E-2</v>
      </c>
      <c r="D229">
        <v>0.6431</v>
      </c>
      <c r="E229">
        <v>202155.93</v>
      </c>
      <c r="F229">
        <f t="shared" si="6"/>
        <v>3289.1639081498997</v>
      </c>
      <c r="G229">
        <v>3289.16</v>
      </c>
      <c r="H229">
        <f t="shared" si="7"/>
        <v>3.908149899871205E-3</v>
      </c>
    </row>
    <row r="230" spans="1:8" x14ac:dyDescent="0.3">
      <c r="A230" t="str">
        <v>ZAAUTO2024-1-00227</v>
      </c>
      <c r="B230">
        <v>1</v>
      </c>
      <c r="C230">
        <v>1.6E-2</v>
      </c>
      <c r="D230">
        <v>0.46639999999999998</v>
      </c>
      <c r="E230">
        <v>301990.69</v>
      </c>
      <c r="F230">
        <f t="shared" si="6"/>
        <v>2253.5753250560001</v>
      </c>
      <c r="G230">
        <v>2253.58</v>
      </c>
      <c r="H230">
        <f t="shared" si="7"/>
        <v>-4.6749439998166054E-3</v>
      </c>
    </row>
    <row r="231" spans="1:8" x14ac:dyDescent="0.3">
      <c r="A231" t="str">
        <v>ZAAUTO2024-1-00228</v>
      </c>
      <c r="B231">
        <v>2</v>
      </c>
      <c r="C231">
        <v>0.1147</v>
      </c>
      <c r="D231">
        <v>0.49030000000000001</v>
      </c>
      <c r="E231">
        <v>944983.16</v>
      </c>
      <c r="F231">
        <f t="shared" si="6"/>
        <v>53143.4054120156</v>
      </c>
      <c r="G231">
        <v>53143.41</v>
      </c>
      <c r="H231">
        <f t="shared" si="7"/>
        <v>-4.5879844037699513E-3</v>
      </c>
    </row>
    <row r="232" spans="1:8" x14ac:dyDescent="0.3">
      <c r="A232" t="str">
        <v>ZAAUTO2024-1-00229</v>
      </c>
      <c r="B232">
        <v>1</v>
      </c>
      <c r="C232">
        <v>1.41E-2</v>
      </c>
      <c r="D232">
        <v>0.43980000000000002</v>
      </c>
      <c r="E232">
        <v>2448707.77</v>
      </c>
      <c r="F232">
        <f t="shared" si="6"/>
        <v>15184.877649168602</v>
      </c>
      <c r="G232">
        <v>15184.88</v>
      </c>
      <c r="H232">
        <f t="shared" si="7"/>
        <v>-2.3508313970523886E-3</v>
      </c>
    </row>
    <row r="233" spans="1:8" x14ac:dyDescent="0.3">
      <c r="A233" t="str">
        <v>ZAAUTO2024-1-00230</v>
      </c>
      <c r="B233">
        <v>1</v>
      </c>
      <c r="C233">
        <v>2.3699999999999999E-2</v>
      </c>
      <c r="D233">
        <v>0.60029999999999994</v>
      </c>
      <c r="E233">
        <v>879274.71</v>
      </c>
      <c r="F233">
        <f t="shared" si="6"/>
        <v>12509.538019388097</v>
      </c>
      <c r="G233">
        <v>12509.54</v>
      </c>
      <c r="H233">
        <f t="shared" si="7"/>
        <v>-1.9806119034910807E-3</v>
      </c>
    </row>
    <row r="234" spans="1:8" x14ac:dyDescent="0.3">
      <c r="A234" t="str">
        <v>ZAAUTO2024-1-00231</v>
      </c>
      <c r="B234">
        <v>1</v>
      </c>
      <c r="C234">
        <v>1.44E-2</v>
      </c>
      <c r="D234">
        <v>0.55669999999999997</v>
      </c>
      <c r="E234">
        <v>1757717.84</v>
      </c>
      <c r="F234">
        <f t="shared" si="6"/>
        <v>14090.709910003199</v>
      </c>
      <c r="G234">
        <v>14090.71</v>
      </c>
      <c r="H234">
        <f t="shared" si="7"/>
        <v>-8.9996799943037331E-5</v>
      </c>
    </row>
    <row r="235" spans="1:8" x14ac:dyDescent="0.3">
      <c r="A235" t="str">
        <v>ZAAUTO2024-1-00232</v>
      </c>
      <c r="B235">
        <v>1</v>
      </c>
      <c r="C235">
        <v>1.7299999999999999E-2</v>
      </c>
      <c r="D235">
        <v>0.35220000000000001</v>
      </c>
      <c r="E235">
        <v>195870.83</v>
      </c>
      <c r="F235">
        <f t="shared" si="6"/>
        <v>1193.4527194397999</v>
      </c>
      <c r="G235">
        <v>1193.45</v>
      </c>
      <c r="H235">
        <f t="shared" si="7"/>
        <v>2.7194397998755448E-3</v>
      </c>
    </row>
    <row r="236" spans="1:8" x14ac:dyDescent="0.3">
      <c r="A236" t="str">
        <v>ZAAUTO2024-1-00233</v>
      </c>
      <c r="B236">
        <v>2</v>
      </c>
      <c r="C236">
        <v>0.14940000000000001</v>
      </c>
      <c r="D236">
        <v>0.47339999999999999</v>
      </c>
      <c r="E236">
        <v>1458122.75</v>
      </c>
      <c r="F236">
        <f t="shared" si="6"/>
        <v>103127.13129159001</v>
      </c>
      <c r="G236">
        <v>103127.13</v>
      </c>
      <c r="H236">
        <f t="shared" si="7"/>
        <v>1.2915900006191805E-3</v>
      </c>
    </row>
    <row r="237" spans="1:8" x14ac:dyDescent="0.3">
      <c r="A237" t="str">
        <v>ZAAUTO2024-1-00234</v>
      </c>
      <c r="B237">
        <v>1</v>
      </c>
      <c r="C237">
        <v>1.9599999999999999E-2</v>
      </c>
      <c r="D237">
        <v>0.43369999999999997</v>
      </c>
      <c r="E237">
        <v>386652.94</v>
      </c>
      <c r="F237">
        <f t="shared" si="6"/>
        <v>3286.7510495287997</v>
      </c>
      <c r="G237">
        <v>3286.75</v>
      </c>
      <c r="H237">
        <f t="shared" si="7"/>
        <v>1.0495287997400737E-3</v>
      </c>
    </row>
    <row r="238" spans="1:8" x14ac:dyDescent="0.3">
      <c r="A238" t="str">
        <v>ZAAUTO2024-1-00235</v>
      </c>
      <c r="B238">
        <v>1</v>
      </c>
      <c r="C238">
        <v>2.4899999999999999E-2</v>
      </c>
      <c r="D238">
        <v>0.41</v>
      </c>
      <c r="E238">
        <v>265762.36</v>
      </c>
      <c r="F238">
        <f t="shared" si="6"/>
        <v>2713.1679332399995</v>
      </c>
      <c r="G238">
        <v>2713.17</v>
      </c>
      <c r="H238">
        <f t="shared" si="7"/>
        <v>-2.0667600006163411E-3</v>
      </c>
    </row>
    <row r="239" spans="1:8" x14ac:dyDescent="0.3">
      <c r="A239" t="str">
        <v>ZAAUTO2024-1-00236</v>
      </c>
      <c r="B239">
        <v>1</v>
      </c>
      <c r="C239">
        <v>2.1899999999999999E-2</v>
      </c>
      <c r="D239">
        <v>0.4335</v>
      </c>
      <c r="E239">
        <v>648027.17000000004</v>
      </c>
      <c r="F239">
        <f t="shared" si="6"/>
        <v>6152.1431424704997</v>
      </c>
      <c r="G239">
        <v>6152.14</v>
      </c>
      <c r="H239">
        <f t="shared" si="7"/>
        <v>3.142470499369665E-3</v>
      </c>
    </row>
    <row r="240" spans="1:8" x14ac:dyDescent="0.3">
      <c r="A240" t="str">
        <v>ZAAUTO2024-1-00237</v>
      </c>
      <c r="B240">
        <v>1</v>
      </c>
      <c r="C240">
        <v>1.6799999999999999E-2</v>
      </c>
      <c r="D240">
        <v>0.53490000000000004</v>
      </c>
      <c r="E240">
        <v>855896.51</v>
      </c>
      <c r="F240">
        <f t="shared" si="6"/>
        <v>7691.3599257432006</v>
      </c>
      <c r="G240">
        <v>7691.36</v>
      </c>
      <c r="H240">
        <f t="shared" si="7"/>
        <v>-7.4256799052818678E-5</v>
      </c>
    </row>
    <row r="241" spans="1:8" x14ac:dyDescent="0.3">
      <c r="A241" t="str">
        <v>ZAAUTO2024-1-00238</v>
      </c>
      <c r="B241">
        <v>1</v>
      </c>
      <c r="C241">
        <v>2.3599999999999999E-2</v>
      </c>
      <c r="D241">
        <v>0.55889999999999995</v>
      </c>
      <c r="E241">
        <v>617361.56000000006</v>
      </c>
      <c r="F241">
        <f t="shared" si="6"/>
        <v>8143.0236708623997</v>
      </c>
      <c r="G241">
        <v>8143.02</v>
      </c>
      <c r="H241">
        <f t="shared" si="7"/>
        <v>3.6708623993035872E-3</v>
      </c>
    </row>
    <row r="242" spans="1:8" x14ac:dyDescent="0.3">
      <c r="A242" t="str">
        <v>ZAAUTO2024-1-00239</v>
      </c>
      <c r="B242">
        <v>1</v>
      </c>
      <c r="C242">
        <v>1.8499999999999999E-2</v>
      </c>
      <c r="D242">
        <v>0.49120000000000003</v>
      </c>
      <c r="E242">
        <v>250260.47</v>
      </c>
      <c r="F242">
        <f t="shared" si="6"/>
        <v>2274.1669429839999</v>
      </c>
      <c r="G242">
        <v>2274.17</v>
      </c>
      <c r="H242">
        <f t="shared" si="7"/>
        <v>-3.057016000184376E-3</v>
      </c>
    </row>
    <row r="243" spans="1:8" x14ac:dyDescent="0.3">
      <c r="A243" t="str">
        <v>ZAAUTO2024-1-00240</v>
      </c>
      <c r="B243">
        <v>1</v>
      </c>
      <c r="C243">
        <v>1.89E-2</v>
      </c>
      <c r="D243">
        <v>0.47470000000000001</v>
      </c>
      <c r="E243">
        <v>907137.95</v>
      </c>
      <c r="F243">
        <f t="shared" si="6"/>
        <v>8138.6874739484992</v>
      </c>
      <c r="G243">
        <v>8138.69</v>
      </c>
      <c r="H243">
        <f t="shared" si="7"/>
        <v>-2.5260515003537876E-3</v>
      </c>
    </row>
    <row r="244" spans="1:8" x14ac:dyDescent="0.3">
      <c r="A244" t="str">
        <v>ZAAUTO2024-1-00241</v>
      </c>
      <c r="B244">
        <v>1</v>
      </c>
      <c r="C244">
        <v>1.7100000000000001E-2</v>
      </c>
      <c r="D244">
        <v>0.48659999999999998</v>
      </c>
      <c r="E244">
        <v>194762.65</v>
      </c>
      <c r="F244">
        <f t="shared" si="6"/>
        <v>1620.5927438789997</v>
      </c>
      <c r="G244">
        <v>1620.59</v>
      </c>
      <c r="H244">
        <f t="shared" si="7"/>
        <v>2.7438789998086577E-3</v>
      </c>
    </row>
    <row r="245" spans="1:8" x14ac:dyDescent="0.3">
      <c r="A245" t="str">
        <v>ZAAUTO2024-1-00242</v>
      </c>
      <c r="B245">
        <v>1</v>
      </c>
      <c r="C245">
        <v>2.24E-2</v>
      </c>
      <c r="D245">
        <v>0.35189999999999999</v>
      </c>
      <c r="E245">
        <v>234769.64</v>
      </c>
      <c r="F245">
        <f t="shared" si="6"/>
        <v>1850.5857734784001</v>
      </c>
      <c r="G245">
        <v>1850.59</v>
      </c>
      <c r="H245">
        <f t="shared" si="7"/>
        <v>-4.2265215997758787E-3</v>
      </c>
    </row>
    <row r="246" spans="1:8" x14ac:dyDescent="0.3">
      <c r="A246" t="str">
        <v>ZAAUTO2024-1-00243</v>
      </c>
      <c r="B246">
        <v>1</v>
      </c>
      <c r="C246">
        <v>1.4800000000000001E-2</v>
      </c>
      <c r="D246">
        <v>0.3589</v>
      </c>
      <c r="E246">
        <v>334434.12</v>
      </c>
      <c r="F246">
        <f t="shared" si="6"/>
        <v>1776.4204038864</v>
      </c>
      <c r="G246">
        <v>1776.42</v>
      </c>
      <c r="H246">
        <f t="shared" si="7"/>
        <v>4.0388639990851516E-4</v>
      </c>
    </row>
    <row r="247" spans="1:8" x14ac:dyDescent="0.3">
      <c r="A247" t="str">
        <v>ZAAUTO2024-1-00244</v>
      </c>
      <c r="B247">
        <v>1</v>
      </c>
      <c r="C247">
        <v>2.2700000000000001E-2</v>
      </c>
      <c r="D247">
        <v>0.61639999999999995</v>
      </c>
      <c r="E247">
        <v>147593.20000000001</v>
      </c>
      <c r="F247">
        <f t="shared" si="6"/>
        <v>2065.1653804960001</v>
      </c>
      <c r="G247">
        <v>2065.17</v>
      </c>
      <c r="H247">
        <f t="shared" si="7"/>
        <v>-4.619503999947483E-3</v>
      </c>
    </row>
    <row r="248" spans="1:8" x14ac:dyDescent="0.3">
      <c r="A248" t="str">
        <v>ZAAUTO2024-1-00245</v>
      </c>
      <c r="B248">
        <v>1</v>
      </c>
      <c r="C248">
        <v>2.2499999999999999E-2</v>
      </c>
      <c r="D248">
        <v>0.61099999999999999</v>
      </c>
      <c r="E248">
        <v>462210.51</v>
      </c>
      <c r="F248">
        <f t="shared" si="6"/>
        <v>6354.2389862250002</v>
      </c>
      <c r="G248">
        <v>6354.24</v>
      </c>
      <c r="H248">
        <f t="shared" si="7"/>
        <v>-1.0137749995919876E-3</v>
      </c>
    </row>
    <row r="249" spans="1:8" x14ac:dyDescent="0.3">
      <c r="A249" t="str">
        <v>ZAAUTO2024-1-00246</v>
      </c>
      <c r="B249">
        <v>1</v>
      </c>
      <c r="C249">
        <v>1.5100000000000001E-2</v>
      </c>
      <c r="D249">
        <v>0.5575</v>
      </c>
      <c r="E249">
        <v>1774089.11</v>
      </c>
      <c r="F249">
        <f t="shared" si="6"/>
        <v>14934.725650257502</v>
      </c>
      <c r="G249">
        <v>14934.73</v>
      </c>
      <c r="H249">
        <f t="shared" si="7"/>
        <v>-4.349742497652187E-3</v>
      </c>
    </row>
    <row r="250" spans="1:8" x14ac:dyDescent="0.3">
      <c r="A250" t="str">
        <v>ZAAUTO2024-1-00247</v>
      </c>
      <c r="B250">
        <v>1</v>
      </c>
      <c r="C250">
        <v>2.0199999999999999E-2</v>
      </c>
      <c r="D250">
        <v>0.53049999999999997</v>
      </c>
      <c r="E250">
        <v>307104.15000000002</v>
      </c>
      <c r="F250">
        <f t="shared" si="6"/>
        <v>3290.9587818149998</v>
      </c>
      <c r="G250">
        <v>3290.96</v>
      </c>
      <c r="H250">
        <f t="shared" si="7"/>
        <v>-1.218185000197991E-3</v>
      </c>
    </row>
    <row r="251" spans="1:8" x14ac:dyDescent="0.3">
      <c r="A251" t="str">
        <v>ZAAUTO2024-1-00248</v>
      </c>
      <c r="B251">
        <v>1</v>
      </c>
      <c r="C251">
        <v>2.5100000000000001E-2</v>
      </c>
      <c r="D251">
        <v>0.58279999999999998</v>
      </c>
      <c r="E251">
        <v>971610.01</v>
      </c>
      <c r="F251">
        <f t="shared" si="6"/>
        <v>14212.9832770828</v>
      </c>
      <c r="G251">
        <v>14212.98</v>
      </c>
      <c r="H251">
        <f t="shared" si="7"/>
        <v>3.2770828001957852E-3</v>
      </c>
    </row>
    <row r="252" spans="1:8" x14ac:dyDescent="0.3">
      <c r="A252" t="str">
        <v>ZAAUTO2024-1-00249</v>
      </c>
      <c r="B252">
        <v>1</v>
      </c>
      <c r="C252">
        <v>2.3699999999999999E-2</v>
      </c>
      <c r="D252">
        <v>0.40870000000000001</v>
      </c>
      <c r="E252">
        <v>2740101.34</v>
      </c>
      <c r="F252">
        <f t="shared" si="6"/>
        <v>26541.142198494596</v>
      </c>
      <c r="G252">
        <v>26541.14</v>
      </c>
      <c r="H252">
        <f t="shared" si="7"/>
        <v>2.1984945960866753E-3</v>
      </c>
    </row>
    <row r="253" spans="1:8" x14ac:dyDescent="0.3">
      <c r="A253" t="str">
        <v>ZAAUTO2024-1-00250</v>
      </c>
      <c r="B253">
        <v>1</v>
      </c>
      <c r="C253">
        <v>1.7299999999999999E-2</v>
      </c>
      <c r="D253">
        <v>0.54600000000000004</v>
      </c>
      <c r="E253">
        <v>601561.84</v>
      </c>
      <c r="F253">
        <f t="shared" si="6"/>
        <v>5682.232828272</v>
      </c>
      <c r="G253">
        <v>5682.23</v>
      </c>
      <c r="H253">
        <f t="shared" si="7"/>
        <v>2.8282720004426665E-3</v>
      </c>
    </row>
    <row r="254" spans="1:8" x14ac:dyDescent="0.3">
      <c r="A254" t="str">
        <v>ZAAUTO2024-1-00251</v>
      </c>
      <c r="B254">
        <v>1</v>
      </c>
      <c r="C254">
        <v>2.3E-2</v>
      </c>
      <c r="D254">
        <v>0.41220000000000001</v>
      </c>
      <c r="E254">
        <v>647342.78</v>
      </c>
      <c r="F254">
        <f t="shared" si="6"/>
        <v>6137.1979600680006</v>
      </c>
      <c r="G254">
        <v>6137.2</v>
      </c>
      <c r="H254">
        <f t="shared" si="7"/>
        <v>-2.0399319992066012E-3</v>
      </c>
    </row>
    <row r="255" spans="1:8" x14ac:dyDescent="0.3">
      <c r="A255" t="str">
        <v>ZAAUTO2024-1-00252</v>
      </c>
      <c r="B255">
        <v>1</v>
      </c>
      <c r="C255">
        <v>2.0299999999999999E-2</v>
      </c>
      <c r="D255">
        <v>0.64580000000000004</v>
      </c>
      <c r="E255">
        <v>116593.1</v>
      </c>
      <c r="F255">
        <f t="shared" si="6"/>
        <v>1528.505226794</v>
      </c>
      <c r="G255">
        <v>1528.51</v>
      </c>
      <c r="H255">
        <f t="shared" si="7"/>
        <v>-4.7732059999816556E-3</v>
      </c>
    </row>
    <row r="256" spans="1:8" x14ac:dyDescent="0.3">
      <c r="A256" t="str">
        <v>ZAAUTO2024-1-00253</v>
      </c>
      <c r="B256">
        <v>1</v>
      </c>
      <c r="C256">
        <v>2.5899999999999999E-2</v>
      </c>
      <c r="D256">
        <v>0.55900000000000005</v>
      </c>
      <c r="E256">
        <v>467288.11</v>
      </c>
      <c r="F256">
        <f t="shared" si="6"/>
        <v>6765.4439853909998</v>
      </c>
      <c r="G256">
        <v>6765.44</v>
      </c>
      <c r="H256">
        <f t="shared" si="7"/>
        <v>3.9853910002420889E-3</v>
      </c>
    </row>
    <row r="257" spans="1:8" x14ac:dyDescent="0.3">
      <c r="A257" t="str">
        <v>ZAAUTO2024-1-00254</v>
      </c>
      <c r="B257">
        <v>1</v>
      </c>
      <c r="C257">
        <v>1.5100000000000001E-2</v>
      </c>
      <c r="D257">
        <v>0.45469999999999999</v>
      </c>
      <c r="E257">
        <v>76191.429999999993</v>
      </c>
      <c r="F257">
        <f t="shared" si="6"/>
        <v>523.12807263709999</v>
      </c>
      <c r="G257">
        <v>523.13</v>
      </c>
      <c r="H257">
        <f t="shared" si="7"/>
        <v>-1.9273629000053916E-3</v>
      </c>
    </row>
    <row r="258" spans="1:8" x14ac:dyDescent="0.3">
      <c r="A258" t="str">
        <v>ZAAUTO2024-1-00255</v>
      </c>
      <c r="B258">
        <v>1</v>
      </c>
      <c r="C258">
        <v>1.6199999999999999E-2</v>
      </c>
      <c r="D258">
        <v>0.64590000000000003</v>
      </c>
      <c r="E258">
        <v>835663.04</v>
      </c>
      <c r="F258">
        <f t="shared" si="6"/>
        <v>8744.0270720832013</v>
      </c>
      <c r="G258">
        <v>8744.0300000000007</v>
      </c>
      <c r="H258">
        <f t="shared" si="7"/>
        <v>-2.9279167993081501E-3</v>
      </c>
    </row>
    <row r="259" spans="1:8" x14ac:dyDescent="0.3">
      <c r="A259" t="str">
        <v>ZAAUTO2024-1-00256</v>
      </c>
      <c r="B259">
        <v>1</v>
      </c>
      <c r="C259">
        <v>2.2599999999999999E-2</v>
      </c>
      <c r="D259">
        <v>0.56079999999999997</v>
      </c>
      <c r="E259">
        <v>89115.09</v>
      </c>
      <c r="F259">
        <f t="shared" si="6"/>
        <v>1129.4517798671998</v>
      </c>
      <c r="G259">
        <v>1129.45</v>
      </c>
      <c r="H259">
        <f t="shared" si="7"/>
        <v>1.7798671997297788E-3</v>
      </c>
    </row>
    <row r="260" spans="1:8" x14ac:dyDescent="0.3">
      <c r="A260" t="str">
        <v>ZAAUTO2024-1-00257</v>
      </c>
      <c r="B260">
        <v>1</v>
      </c>
      <c r="C260">
        <v>1.4E-2</v>
      </c>
      <c r="D260">
        <v>0.53939999999999999</v>
      </c>
      <c r="E260">
        <v>316153.52</v>
      </c>
      <c r="F260">
        <f t="shared" si="6"/>
        <v>2387.4649216320004</v>
      </c>
      <c r="G260">
        <v>2387.46</v>
      </c>
      <c r="H260">
        <f t="shared" si="7"/>
        <v>4.9216320003324654E-3</v>
      </c>
    </row>
    <row r="261" spans="1:8" x14ac:dyDescent="0.3">
      <c r="A261" t="str">
        <v>ZAAUTO2024-1-00258</v>
      </c>
      <c r="B261">
        <v>1</v>
      </c>
      <c r="C261">
        <v>1.67E-2</v>
      </c>
      <c r="D261">
        <v>0.46860000000000002</v>
      </c>
      <c r="E261">
        <v>140070.25</v>
      </c>
      <c r="F261">
        <f t="shared" ref="F261:F324" si="8">MAX(0, C261*D261*E261)</f>
        <v>1096.136549805</v>
      </c>
      <c r="G261">
        <v>1096.1400000000001</v>
      </c>
      <c r="H261">
        <f t="shared" ref="H261:H324" si="9">F261-G261</f>
        <v>-3.4501950001413206E-3</v>
      </c>
    </row>
    <row r="262" spans="1:8" x14ac:dyDescent="0.3">
      <c r="A262" t="str">
        <v>ZAAUTO2024-1-00259</v>
      </c>
      <c r="B262">
        <v>3</v>
      </c>
      <c r="C262">
        <v>0.66200000000000003</v>
      </c>
      <c r="D262">
        <v>0.63729999999999998</v>
      </c>
      <c r="E262">
        <v>484757.89</v>
      </c>
      <c r="F262">
        <f t="shared" si="8"/>
        <v>204515.76658261401</v>
      </c>
      <c r="G262">
        <v>204515.77</v>
      </c>
      <c r="H262">
        <f t="shared" si="9"/>
        <v>-3.4173859748989344E-3</v>
      </c>
    </row>
    <row r="263" spans="1:8" x14ac:dyDescent="0.3">
      <c r="A263" t="str">
        <v>ZAAUTO2024-1-00260</v>
      </c>
      <c r="B263">
        <v>1</v>
      </c>
      <c r="C263">
        <v>1.6299999999999999E-2</v>
      </c>
      <c r="D263">
        <v>0.60650000000000004</v>
      </c>
      <c r="E263">
        <v>550824.24</v>
      </c>
      <c r="F263">
        <f t="shared" si="8"/>
        <v>5445.4208954279993</v>
      </c>
      <c r="G263">
        <v>5445.42</v>
      </c>
      <c r="H263">
        <f t="shared" si="9"/>
        <v>8.9542799923947314E-4</v>
      </c>
    </row>
    <row r="264" spans="1:8" x14ac:dyDescent="0.3">
      <c r="A264" t="str">
        <v>ZAAUTO2024-1-00261</v>
      </c>
      <c r="B264">
        <v>1</v>
      </c>
      <c r="C264">
        <v>1.9199999999999998E-2</v>
      </c>
      <c r="D264">
        <v>0.42570000000000002</v>
      </c>
      <c r="E264">
        <v>594472.74</v>
      </c>
      <c r="F264">
        <f t="shared" si="8"/>
        <v>4858.8872720256004</v>
      </c>
      <c r="G264">
        <v>4858.8900000000003</v>
      </c>
      <c r="H264">
        <f t="shared" si="9"/>
        <v>-2.7279743999315542E-3</v>
      </c>
    </row>
    <row r="265" spans="1:8" x14ac:dyDescent="0.3">
      <c r="A265" t="str">
        <v>ZAAUTO2024-1-00262</v>
      </c>
      <c r="B265">
        <v>1</v>
      </c>
      <c r="C265">
        <v>1.7600000000000001E-2</v>
      </c>
      <c r="D265">
        <v>0.49230000000000002</v>
      </c>
      <c r="E265">
        <v>1310564.25</v>
      </c>
      <c r="F265">
        <f t="shared" si="8"/>
        <v>11355.357732840001</v>
      </c>
      <c r="G265">
        <v>11355.36</v>
      </c>
      <c r="H265">
        <f t="shared" si="9"/>
        <v>-2.2671599999739556E-3</v>
      </c>
    </row>
    <row r="266" spans="1:8" x14ac:dyDescent="0.3">
      <c r="A266" t="str">
        <v>ZAAUTO2024-1-00263</v>
      </c>
      <c r="B266">
        <v>3</v>
      </c>
      <c r="C266">
        <v>0.7994</v>
      </c>
      <c r="D266">
        <v>0.43140000000000001</v>
      </c>
      <c r="E266">
        <v>655802.31000000006</v>
      </c>
      <c r="F266">
        <f t="shared" si="8"/>
        <v>226160.74535727961</v>
      </c>
      <c r="G266">
        <v>226160.75</v>
      </c>
      <c r="H266">
        <f t="shared" si="9"/>
        <v>-4.6427203924395144E-3</v>
      </c>
    </row>
    <row r="267" spans="1:8" x14ac:dyDescent="0.3">
      <c r="A267" t="str">
        <v>ZAAUTO2024-1-00264</v>
      </c>
      <c r="B267">
        <v>1</v>
      </c>
      <c r="C267">
        <v>1.7899999999999999E-2</v>
      </c>
      <c r="D267">
        <v>0.63390000000000002</v>
      </c>
      <c r="E267">
        <v>1742883.15</v>
      </c>
      <c r="F267">
        <f t="shared" si="8"/>
        <v>19776.163955251501</v>
      </c>
      <c r="G267">
        <v>19776.16</v>
      </c>
      <c r="H267">
        <f t="shared" si="9"/>
        <v>3.9552515008836053E-3</v>
      </c>
    </row>
    <row r="268" spans="1:8" x14ac:dyDescent="0.3">
      <c r="A268" t="str">
        <v>ZAAUTO2024-1-00265</v>
      </c>
      <c r="B268">
        <v>1</v>
      </c>
      <c r="C268">
        <v>1.84E-2</v>
      </c>
      <c r="D268">
        <v>0.62070000000000003</v>
      </c>
      <c r="E268">
        <v>576896.11</v>
      </c>
      <c r="F268">
        <f t="shared" si="8"/>
        <v>6588.6612447767993</v>
      </c>
      <c r="G268">
        <v>6588.66</v>
      </c>
      <c r="H268">
        <f t="shared" si="9"/>
        <v>1.2447767994672176E-3</v>
      </c>
    </row>
    <row r="269" spans="1:8" x14ac:dyDescent="0.3">
      <c r="A269" t="str">
        <v>ZAAUTO2024-1-00266</v>
      </c>
      <c r="B269">
        <v>1</v>
      </c>
      <c r="C269">
        <v>1.5699999999999999E-2</v>
      </c>
      <c r="D269">
        <v>0.53820000000000001</v>
      </c>
      <c r="E269">
        <v>417545.19</v>
      </c>
      <c r="F269">
        <f t="shared" si="8"/>
        <v>3528.1482937505998</v>
      </c>
      <c r="G269">
        <v>3528.15</v>
      </c>
      <c r="H269">
        <f t="shared" si="9"/>
        <v>-1.706249400285742E-3</v>
      </c>
    </row>
    <row r="270" spans="1:8" x14ac:dyDescent="0.3">
      <c r="A270" t="str">
        <v>ZAAUTO2024-1-00267</v>
      </c>
      <c r="B270">
        <v>1</v>
      </c>
      <c r="C270">
        <v>1.8200000000000001E-2</v>
      </c>
      <c r="D270">
        <v>0.43609999999999999</v>
      </c>
      <c r="E270">
        <v>479416.19</v>
      </c>
      <c r="F270">
        <f t="shared" si="8"/>
        <v>3805.1358883537996</v>
      </c>
      <c r="G270">
        <v>3805.14</v>
      </c>
      <c r="H270">
        <f t="shared" si="9"/>
        <v>-4.1116462002719345E-3</v>
      </c>
    </row>
    <row r="271" spans="1:8" x14ac:dyDescent="0.3">
      <c r="A271" t="str">
        <v>ZAAUTO2024-1-00268</v>
      </c>
      <c r="B271">
        <v>1</v>
      </c>
      <c r="C271">
        <v>2.1899999999999999E-2</v>
      </c>
      <c r="D271">
        <v>0.62990000000000002</v>
      </c>
      <c r="E271">
        <v>0</v>
      </c>
      <c r="F271">
        <f t="shared" si="8"/>
        <v>0</v>
      </c>
      <c r="G271">
        <v>0</v>
      </c>
      <c r="H271">
        <f t="shared" si="9"/>
        <v>0</v>
      </c>
    </row>
    <row r="272" spans="1:8" x14ac:dyDescent="0.3">
      <c r="A272" t="str">
        <v>ZAAUTO2024-1-00269</v>
      </c>
      <c r="B272">
        <v>1</v>
      </c>
      <c r="C272">
        <v>1.8599999999999998E-2</v>
      </c>
      <c r="D272">
        <v>0.51480000000000004</v>
      </c>
      <c r="E272">
        <v>927874.36</v>
      </c>
      <c r="F272">
        <f t="shared" si="8"/>
        <v>8884.6568018208</v>
      </c>
      <c r="G272">
        <v>8884.66</v>
      </c>
      <c r="H272">
        <f t="shared" si="9"/>
        <v>-3.1981791998987319E-3</v>
      </c>
    </row>
    <row r="273" spans="1:8" x14ac:dyDescent="0.3">
      <c r="A273" t="str">
        <v>ZAAUTO2024-1-00270</v>
      </c>
      <c r="B273">
        <v>1</v>
      </c>
      <c r="C273">
        <v>1.54E-2</v>
      </c>
      <c r="D273">
        <v>0.55869999999999997</v>
      </c>
      <c r="E273">
        <v>705442.96</v>
      </c>
      <c r="F273">
        <f t="shared" si="8"/>
        <v>6069.6171189808001</v>
      </c>
      <c r="G273">
        <v>6069.62</v>
      </c>
      <c r="H273">
        <f t="shared" si="9"/>
        <v>-2.8810191997763468E-3</v>
      </c>
    </row>
    <row r="274" spans="1:8" x14ac:dyDescent="0.3">
      <c r="A274" t="str">
        <v>ZAAUTO2024-1-00271</v>
      </c>
      <c r="B274">
        <v>1</v>
      </c>
      <c r="C274">
        <v>2.1299999999999999E-2</v>
      </c>
      <c r="D274">
        <v>0.40210000000000001</v>
      </c>
      <c r="E274">
        <v>51071.03</v>
      </c>
      <c r="F274">
        <f t="shared" si="8"/>
        <v>437.40958277189998</v>
      </c>
      <c r="G274">
        <v>437.41</v>
      </c>
      <c r="H274">
        <f t="shared" si="9"/>
        <v>-4.172281000478506E-4</v>
      </c>
    </row>
    <row r="275" spans="1:8" x14ac:dyDescent="0.3">
      <c r="A275" t="str">
        <v>ZAAUTO2024-1-00272</v>
      </c>
      <c r="B275">
        <v>1</v>
      </c>
      <c r="C275">
        <v>1.6299999999999999E-2</v>
      </c>
      <c r="D275">
        <v>0.38250000000000001</v>
      </c>
      <c r="E275">
        <v>476698.33</v>
      </c>
      <c r="F275">
        <f t="shared" si="8"/>
        <v>2972.0949129675</v>
      </c>
      <c r="G275">
        <v>2972.09</v>
      </c>
      <c r="H275">
        <f t="shared" si="9"/>
        <v>4.9129674998766859E-3</v>
      </c>
    </row>
    <row r="276" spans="1:8" x14ac:dyDescent="0.3">
      <c r="A276" t="str">
        <v>ZAAUTO2024-1-00273</v>
      </c>
      <c r="B276">
        <v>3</v>
      </c>
      <c r="C276">
        <v>0.76400000000000001</v>
      </c>
      <c r="D276">
        <v>0.61899999999999999</v>
      </c>
      <c r="E276">
        <v>0</v>
      </c>
      <c r="F276">
        <f t="shared" si="8"/>
        <v>0</v>
      </c>
      <c r="G276">
        <v>0</v>
      </c>
      <c r="H276">
        <f t="shared" si="9"/>
        <v>0</v>
      </c>
    </row>
    <row r="277" spans="1:8" x14ac:dyDescent="0.3">
      <c r="A277" t="str">
        <v>ZAAUTO2024-1-00274</v>
      </c>
      <c r="B277">
        <v>1</v>
      </c>
      <c r="C277">
        <v>1.6899999999999998E-2</v>
      </c>
      <c r="D277">
        <v>0.64910000000000001</v>
      </c>
      <c r="E277">
        <v>90930.46</v>
      </c>
      <c r="F277">
        <f t="shared" si="8"/>
        <v>997.48805080339991</v>
      </c>
      <c r="G277">
        <v>997.49</v>
      </c>
      <c r="H277">
        <f t="shared" si="9"/>
        <v>-1.9491966000941829E-3</v>
      </c>
    </row>
    <row r="278" spans="1:8" x14ac:dyDescent="0.3">
      <c r="A278" t="str">
        <v>ZAAUTO2024-1-00275</v>
      </c>
      <c r="B278">
        <v>1</v>
      </c>
      <c r="C278">
        <v>1.9300000000000001E-2</v>
      </c>
      <c r="D278">
        <v>0.50370000000000004</v>
      </c>
      <c r="E278">
        <v>744140.46</v>
      </c>
      <c r="F278">
        <f t="shared" si="8"/>
        <v>7234.0945092486008</v>
      </c>
      <c r="G278">
        <v>7234.09</v>
      </c>
      <c r="H278">
        <f t="shared" si="9"/>
        <v>4.5092486006979016E-3</v>
      </c>
    </row>
    <row r="279" spans="1:8" x14ac:dyDescent="0.3">
      <c r="A279" t="str">
        <v>ZAAUTO2024-1-00276</v>
      </c>
      <c r="B279">
        <v>1</v>
      </c>
      <c r="C279">
        <v>2.5000000000000001E-2</v>
      </c>
      <c r="D279">
        <v>0.62670000000000003</v>
      </c>
      <c r="E279">
        <v>128410.54</v>
      </c>
      <c r="F279">
        <f t="shared" si="8"/>
        <v>2011.8721354500001</v>
      </c>
      <c r="G279">
        <v>2011.87</v>
      </c>
      <c r="H279">
        <f t="shared" si="9"/>
        <v>2.1354500001962151E-3</v>
      </c>
    </row>
    <row r="280" spans="1:8" x14ac:dyDescent="0.3">
      <c r="A280" t="str">
        <v>ZAAUTO2024-1-00277</v>
      </c>
      <c r="B280">
        <v>1</v>
      </c>
      <c r="C280">
        <v>1.7299999999999999E-2</v>
      </c>
      <c r="D280">
        <v>0.3745</v>
      </c>
      <c r="E280">
        <v>458469.78</v>
      </c>
      <c r="F280">
        <f t="shared" si="8"/>
        <v>2970.3569341530001</v>
      </c>
      <c r="G280">
        <v>2970.36</v>
      </c>
      <c r="H280">
        <f t="shared" si="9"/>
        <v>-3.0658470000162197E-3</v>
      </c>
    </row>
    <row r="281" spans="1:8" x14ac:dyDescent="0.3">
      <c r="A281" t="str">
        <v>ZAAUTO2024-1-00278</v>
      </c>
      <c r="B281">
        <v>1</v>
      </c>
      <c r="C281">
        <v>1.4200000000000001E-2</v>
      </c>
      <c r="D281">
        <v>0.61899999999999999</v>
      </c>
      <c r="E281">
        <v>384145.56</v>
      </c>
      <c r="F281">
        <f t="shared" si="8"/>
        <v>3376.5626432880003</v>
      </c>
      <c r="G281">
        <v>3376.56</v>
      </c>
      <c r="H281">
        <f t="shared" si="9"/>
        <v>2.6432880003994796E-3</v>
      </c>
    </row>
    <row r="282" spans="1:8" x14ac:dyDescent="0.3">
      <c r="A282" t="str">
        <v>ZAAUTO2024-1-00279</v>
      </c>
      <c r="B282">
        <v>1</v>
      </c>
      <c r="C282">
        <v>2.18E-2</v>
      </c>
      <c r="D282">
        <v>0.48680000000000001</v>
      </c>
      <c r="E282">
        <v>376148.7</v>
      </c>
      <c r="F282">
        <f t="shared" si="8"/>
        <v>3991.7802800880004</v>
      </c>
      <c r="G282">
        <v>3991.78</v>
      </c>
      <c r="H282">
        <f t="shared" si="9"/>
        <v>2.800880001814221E-4</v>
      </c>
    </row>
    <row r="283" spans="1:8" x14ac:dyDescent="0.3">
      <c r="A283" t="str">
        <v>ZAAUTO2024-1-00280</v>
      </c>
      <c r="B283">
        <v>1</v>
      </c>
      <c r="C283">
        <v>2.1999999999999999E-2</v>
      </c>
      <c r="D283">
        <v>0.60550000000000004</v>
      </c>
      <c r="E283">
        <v>569887.05000000005</v>
      </c>
      <c r="F283">
        <f t="shared" si="8"/>
        <v>7591.4653930500008</v>
      </c>
      <c r="G283">
        <v>7591.47</v>
      </c>
      <c r="H283">
        <f t="shared" si="9"/>
        <v>-4.6069499994700891E-3</v>
      </c>
    </row>
    <row r="284" spans="1:8" x14ac:dyDescent="0.3">
      <c r="A284" t="str">
        <v>ZAAUTO2024-1-00281</v>
      </c>
      <c r="B284">
        <v>1</v>
      </c>
      <c r="C284">
        <v>1.6E-2</v>
      </c>
      <c r="D284">
        <v>0.52170000000000005</v>
      </c>
      <c r="E284">
        <v>312271.53999999998</v>
      </c>
      <c r="F284">
        <f t="shared" si="8"/>
        <v>2606.5929986880001</v>
      </c>
      <c r="G284">
        <v>2606.59</v>
      </c>
      <c r="H284">
        <f t="shared" si="9"/>
        <v>2.9986879999341909E-3</v>
      </c>
    </row>
    <row r="285" spans="1:8" x14ac:dyDescent="0.3">
      <c r="A285" t="str">
        <v>ZAAUTO2024-1-00282</v>
      </c>
      <c r="B285">
        <v>1</v>
      </c>
      <c r="C285">
        <v>1.43E-2</v>
      </c>
      <c r="D285">
        <v>0.56230000000000002</v>
      </c>
      <c r="E285">
        <v>2027563.18</v>
      </c>
      <c r="F285">
        <f t="shared" si="8"/>
        <v>16303.4124984302</v>
      </c>
      <c r="G285">
        <v>16303.41</v>
      </c>
      <c r="H285">
        <f t="shared" si="9"/>
        <v>2.4984301999211311E-3</v>
      </c>
    </row>
    <row r="286" spans="1:8" x14ac:dyDescent="0.3">
      <c r="A286" t="str">
        <v>ZAAUTO2024-1-00283</v>
      </c>
      <c r="B286">
        <v>1</v>
      </c>
      <c r="C286">
        <v>2.5000000000000001E-2</v>
      </c>
      <c r="D286">
        <v>0.41239999999999999</v>
      </c>
      <c r="E286">
        <v>461791.9</v>
      </c>
      <c r="F286">
        <f t="shared" si="8"/>
        <v>4761.0744890000005</v>
      </c>
      <c r="G286">
        <v>4761.07</v>
      </c>
      <c r="H286">
        <f t="shared" si="9"/>
        <v>4.4890000008308562E-3</v>
      </c>
    </row>
    <row r="287" spans="1:8" x14ac:dyDescent="0.3">
      <c r="A287" t="str">
        <v>ZAAUTO2024-1-00284</v>
      </c>
      <c r="B287">
        <v>1</v>
      </c>
      <c r="C287">
        <v>1.66E-2</v>
      </c>
      <c r="D287">
        <v>0.45950000000000002</v>
      </c>
      <c r="E287">
        <v>1089426.54</v>
      </c>
      <c r="F287">
        <f t="shared" si="8"/>
        <v>8309.8188191580011</v>
      </c>
      <c r="G287">
        <v>8309.82</v>
      </c>
      <c r="H287">
        <f t="shared" si="9"/>
        <v>-1.1808419985754881E-3</v>
      </c>
    </row>
    <row r="288" spans="1:8" x14ac:dyDescent="0.3">
      <c r="A288" t="str">
        <v>ZAAUTO2024-1-00285</v>
      </c>
      <c r="B288">
        <v>1</v>
      </c>
      <c r="C288">
        <v>2.12E-2</v>
      </c>
      <c r="D288">
        <v>0.43149999999999999</v>
      </c>
      <c r="E288">
        <v>986236.06</v>
      </c>
      <c r="F288">
        <f t="shared" si="8"/>
        <v>9021.8902296680008</v>
      </c>
      <c r="G288">
        <v>9021.89</v>
      </c>
      <c r="H288">
        <f t="shared" si="9"/>
        <v>2.2966800133872312E-4</v>
      </c>
    </row>
    <row r="289" spans="1:8" x14ac:dyDescent="0.3">
      <c r="A289" t="str">
        <v>ZAAUTO2024-1-00286</v>
      </c>
      <c r="B289">
        <v>1</v>
      </c>
      <c r="C289">
        <v>2.23E-2</v>
      </c>
      <c r="D289">
        <v>0.56499999999999995</v>
      </c>
      <c r="E289">
        <v>374967.25</v>
      </c>
      <c r="F289">
        <f t="shared" si="8"/>
        <v>4724.3998663749999</v>
      </c>
      <c r="G289">
        <v>4724.3999999999996</v>
      </c>
      <c r="H289">
        <f t="shared" si="9"/>
        <v>-1.3362499976210529E-4</v>
      </c>
    </row>
    <row r="290" spans="1:8" x14ac:dyDescent="0.3">
      <c r="A290" t="str">
        <v>ZAAUTO2024-1-00287</v>
      </c>
      <c r="B290">
        <v>1</v>
      </c>
      <c r="C290">
        <v>2.4899999999999999E-2</v>
      </c>
      <c r="D290">
        <v>0.43530000000000002</v>
      </c>
      <c r="E290">
        <v>606891.32999999996</v>
      </c>
      <c r="F290">
        <f t="shared" si="8"/>
        <v>6578.0769191300997</v>
      </c>
      <c r="G290">
        <v>6578.08</v>
      </c>
      <c r="H290">
        <f t="shared" si="9"/>
        <v>-3.0808699002591311E-3</v>
      </c>
    </row>
    <row r="291" spans="1:8" x14ac:dyDescent="0.3">
      <c r="A291" t="str">
        <v>ZAAUTO2024-1-00288</v>
      </c>
      <c r="B291">
        <v>1</v>
      </c>
      <c r="C291">
        <v>1.5100000000000001E-2</v>
      </c>
      <c r="D291">
        <v>0.56720000000000004</v>
      </c>
      <c r="E291">
        <v>321688.53999999998</v>
      </c>
      <c r="F291">
        <f t="shared" si="8"/>
        <v>2755.1722723088001</v>
      </c>
      <c r="G291">
        <v>2755.17</v>
      </c>
      <c r="H291">
        <f t="shared" si="9"/>
        <v>2.2723088000020653E-3</v>
      </c>
    </row>
    <row r="292" spans="1:8" x14ac:dyDescent="0.3">
      <c r="A292" t="str">
        <v>ZAAUTO2024-1-00289</v>
      </c>
      <c r="B292">
        <v>1</v>
      </c>
      <c r="C292">
        <v>2.3300000000000001E-2</v>
      </c>
      <c r="D292">
        <v>0.49480000000000002</v>
      </c>
      <c r="E292">
        <v>180734.86</v>
      </c>
      <c r="F292">
        <f t="shared" si="8"/>
        <v>2083.6632833623999</v>
      </c>
      <c r="G292">
        <v>2083.66</v>
      </c>
      <c r="H292">
        <f t="shared" si="9"/>
        <v>3.2833623999977135E-3</v>
      </c>
    </row>
    <row r="293" spans="1:8" x14ac:dyDescent="0.3">
      <c r="A293" t="str">
        <v>ZAAUTO2024-1-00290</v>
      </c>
      <c r="B293">
        <v>1</v>
      </c>
      <c r="C293">
        <v>1.8599999999999998E-2</v>
      </c>
      <c r="D293">
        <v>0.48570000000000002</v>
      </c>
      <c r="E293">
        <v>235630.64</v>
      </c>
      <c r="F293">
        <f t="shared" si="8"/>
        <v>2128.6919143728001</v>
      </c>
      <c r="G293">
        <v>2128.69</v>
      </c>
      <c r="H293">
        <f t="shared" si="9"/>
        <v>1.914372800001729E-3</v>
      </c>
    </row>
    <row r="294" spans="1:8" x14ac:dyDescent="0.3">
      <c r="A294" t="str">
        <v>ZAAUTO2024-1-00291</v>
      </c>
      <c r="B294">
        <v>1</v>
      </c>
      <c r="C294">
        <v>1.46E-2</v>
      </c>
      <c r="D294">
        <v>0.46479999999999999</v>
      </c>
      <c r="E294">
        <v>574569.55000000005</v>
      </c>
      <c r="F294">
        <f t="shared" si="8"/>
        <v>3899.0749318640001</v>
      </c>
      <c r="G294">
        <v>3899.07</v>
      </c>
      <c r="H294">
        <f t="shared" si="9"/>
        <v>4.9318639999000879E-3</v>
      </c>
    </row>
    <row r="295" spans="1:8" x14ac:dyDescent="0.3">
      <c r="A295" t="str">
        <v>ZAAUTO2024-1-00292</v>
      </c>
      <c r="B295">
        <v>1</v>
      </c>
      <c r="C295">
        <v>2.1600000000000001E-2</v>
      </c>
      <c r="D295">
        <v>0.56179999999999997</v>
      </c>
      <c r="E295">
        <v>913707.76</v>
      </c>
      <c r="F295">
        <f t="shared" si="8"/>
        <v>11087.734022668801</v>
      </c>
      <c r="G295">
        <v>11087.73</v>
      </c>
      <c r="H295">
        <f t="shared" si="9"/>
        <v>4.0226688015536638E-3</v>
      </c>
    </row>
    <row r="296" spans="1:8" x14ac:dyDescent="0.3">
      <c r="A296" t="str">
        <v>ZAAUTO2024-1-00293</v>
      </c>
      <c r="B296">
        <v>1</v>
      </c>
      <c r="C296">
        <v>2.4E-2</v>
      </c>
      <c r="D296">
        <v>0.50760000000000005</v>
      </c>
      <c r="E296">
        <v>314775.33</v>
      </c>
      <c r="F296">
        <f t="shared" si="8"/>
        <v>3834.7189801920008</v>
      </c>
      <c r="G296">
        <v>3834.72</v>
      </c>
      <c r="H296">
        <f t="shared" si="9"/>
        <v>-1.0198079990004771E-3</v>
      </c>
    </row>
    <row r="297" spans="1:8" x14ac:dyDescent="0.3">
      <c r="A297" t="str">
        <v>ZAAUTO2024-1-00294</v>
      </c>
      <c r="B297">
        <v>3</v>
      </c>
      <c r="C297">
        <v>0.92079999999999995</v>
      </c>
      <c r="D297">
        <v>0.63959999999999995</v>
      </c>
      <c r="E297">
        <v>677650.94</v>
      </c>
      <c r="F297">
        <f t="shared" si="8"/>
        <v>399098.23835905915</v>
      </c>
      <c r="G297">
        <v>399098.24</v>
      </c>
      <c r="H297">
        <f t="shared" si="9"/>
        <v>-1.6409408417530358E-3</v>
      </c>
    </row>
    <row r="298" spans="1:8" x14ac:dyDescent="0.3">
      <c r="A298" t="str">
        <v>ZAAUTO2024-1-00295</v>
      </c>
      <c r="B298">
        <v>1</v>
      </c>
      <c r="C298">
        <v>1.7600000000000001E-2</v>
      </c>
      <c r="D298">
        <v>0.4365</v>
      </c>
      <c r="E298">
        <v>790438.95</v>
      </c>
      <c r="F298">
        <f t="shared" si="8"/>
        <v>6072.4681894800005</v>
      </c>
      <c r="G298">
        <v>6072.47</v>
      </c>
      <c r="H298">
        <f t="shared" si="9"/>
        <v>-1.810519999708049E-3</v>
      </c>
    </row>
    <row r="299" spans="1:8" x14ac:dyDescent="0.3">
      <c r="A299" t="str">
        <v>ZAAUTO2024-1-00296</v>
      </c>
      <c r="B299">
        <v>1</v>
      </c>
      <c r="C299">
        <v>2.5000000000000001E-2</v>
      </c>
      <c r="D299">
        <v>0.52910000000000001</v>
      </c>
      <c r="E299">
        <v>934802.02</v>
      </c>
      <c r="F299">
        <f t="shared" si="8"/>
        <v>12365.093719550001</v>
      </c>
      <c r="G299">
        <v>12365.09</v>
      </c>
      <c r="H299">
        <f t="shared" si="9"/>
        <v>3.7195500008238014E-3</v>
      </c>
    </row>
    <row r="300" spans="1:8" x14ac:dyDescent="0.3">
      <c r="A300" t="str">
        <v>ZAAUTO2024-1-00297</v>
      </c>
      <c r="B300">
        <v>2</v>
      </c>
      <c r="C300">
        <v>0.1283</v>
      </c>
      <c r="D300">
        <v>0.44069999999999998</v>
      </c>
      <c r="E300">
        <v>390578.87</v>
      </c>
      <c r="F300">
        <f t="shared" si="8"/>
        <v>22084.036257554701</v>
      </c>
      <c r="G300">
        <v>22084.04</v>
      </c>
      <c r="H300">
        <f t="shared" si="9"/>
        <v>-3.7424453003040981E-3</v>
      </c>
    </row>
    <row r="301" spans="1:8" x14ac:dyDescent="0.3">
      <c r="A301" t="str">
        <v>ZAAUTO2024-1-00298</v>
      </c>
      <c r="B301">
        <v>1</v>
      </c>
      <c r="C301">
        <v>1.5599999999999999E-2</v>
      </c>
      <c r="D301">
        <v>0.61850000000000005</v>
      </c>
      <c r="E301">
        <v>1872353.21</v>
      </c>
      <c r="F301">
        <f t="shared" si="8"/>
        <v>18065.587182005998</v>
      </c>
      <c r="G301">
        <v>18065.59</v>
      </c>
      <c r="H301">
        <f t="shared" si="9"/>
        <v>-2.8179940018162597E-3</v>
      </c>
    </row>
    <row r="302" spans="1:8" x14ac:dyDescent="0.3">
      <c r="A302" t="str">
        <v>ZAAUTO2024-1-00299</v>
      </c>
      <c r="B302">
        <v>1</v>
      </c>
      <c r="C302">
        <v>2.3800000000000002E-2</v>
      </c>
      <c r="D302">
        <v>0.54720000000000002</v>
      </c>
      <c r="E302">
        <v>708433.72</v>
      </c>
      <c r="F302">
        <f t="shared" si="8"/>
        <v>9226.1873716992013</v>
      </c>
      <c r="G302">
        <v>9226.19</v>
      </c>
      <c r="H302">
        <f t="shared" si="9"/>
        <v>-2.6283007991878549E-3</v>
      </c>
    </row>
    <row r="303" spans="1:8" x14ac:dyDescent="0.3">
      <c r="A303" t="str">
        <v>ZAAUTO2024-1-00300</v>
      </c>
      <c r="B303">
        <v>1</v>
      </c>
      <c r="C303">
        <v>1.7299999999999999E-2</v>
      </c>
      <c r="D303">
        <v>0.64449999999999996</v>
      </c>
      <c r="E303">
        <v>1457540.03</v>
      </c>
      <c r="F303">
        <f t="shared" si="8"/>
        <v>16251.352703495499</v>
      </c>
      <c r="G303">
        <v>16251.35</v>
      </c>
      <c r="H303">
        <f t="shared" si="9"/>
        <v>2.7034954982809722E-3</v>
      </c>
    </row>
    <row r="304" spans="1:8" x14ac:dyDescent="0.3">
      <c r="A304" t="str">
        <v>ZAAUTO2024-1-00301</v>
      </c>
      <c r="B304">
        <v>1</v>
      </c>
      <c r="C304">
        <v>2.1000000000000001E-2</v>
      </c>
      <c r="D304">
        <v>0.59899999999999998</v>
      </c>
      <c r="E304">
        <v>135429.20000000001</v>
      </c>
      <c r="F304">
        <f t="shared" si="8"/>
        <v>1703.5639068</v>
      </c>
      <c r="G304">
        <v>1703.56</v>
      </c>
      <c r="H304">
        <f t="shared" si="9"/>
        <v>3.9068000000952452E-3</v>
      </c>
    </row>
    <row r="305" spans="1:8" x14ac:dyDescent="0.3">
      <c r="A305" t="str">
        <v>ZAAUTO2024-1-00302</v>
      </c>
      <c r="B305">
        <v>2</v>
      </c>
      <c r="C305">
        <v>0.1002</v>
      </c>
      <c r="D305">
        <v>0.5726</v>
      </c>
      <c r="E305">
        <v>644355.17000000004</v>
      </c>
      <c r="F305">
        <f t="shared" si="8"/>
        <v>36969.568588268405</v>
      </c>
      <c r="G305">
        <v>36969.57</v>
      </c>
      <c r="H305">
        <f t="shared" si="9"/>
        <v>-1.4117315949988551E-3</v>
      </c>
    </row>
    <row r="306" spans="1:8" x14ac:dyDescent="0.3">
      <c r="A306" t="str">
        <v>ZAAUTO2024-1-00303</v>
      </c>
      <c r="B306">
        <v>1</v>
      </c>
      <c r="C306">
        <v>2.0799999999999999E-2</v>
      </c>
      <c r="D306">
        <v>0.38819999999999999</v>
      </c>
      <c r="E306">
        <v>254711.16</v>
      </c>
      <c r="F306">
        <f t="shared" si="8"/>
        <v>2056.6805440896001</v>
      </c>
      <c r="G306">
        <v>2056.6799999999998</v>
      </c>
      <c r="H306">
        <f t="shared" si="9"/>
        <v>5.440896002255613E-4</v>
      </c>
    </row>
    <row r="307" spans="1:8" x14ac:dyDescent="0.3">
      <c r="A307" t="str">
        <v>ZAAUTO2024-1-00304</v>
      </c>
      <c r="B307">
        <v>2</v>
      </c>
      <c r="C307">
        <v>0.15049999999999999</v>
      </c>
      <c r="D307">
        <v>0.54900000000000004</v>
      </c>
      <c r="E307">
        <v>417457.58</v>
      </c>
      <c r="F307">
        <f t="shared" si="8"/>
        <v>34492.223818710001</v>
      </c>
      <c r="G307">
        <v>34492.22</v>
      </c>
      <c r="H307">
        <f t="shared" si="9"/>
        <v>3.8187099999049678E-3</v>
      </c>
    </row>
    <row r="308" spans="1:8" x14ac:dyDescent="0.3">
      <c r="A308" t="str">
        <v>ZAAUTO2024-1-00305</v>
      </c>
      <c r="B308">
        <v>1</v>
      </c>
      <c r="C308">
        <v>2.06E-2</v>
      </c>
      <c r="D308">
        <v>0.36559999999999998</v>
      </c>
      <c r="E308">
        <v>116282.63</v>
      </c>
      <c r="F308">
        <f t="shared" si="8"/>
        <v>875.76634827680004</v>
      </c>
      <c r="G308">
        <v>875.77</v>
      </c>
      <c r="H308">
        <f t="shared" si="9"/>
        <v>-3.651723199936896E-3</v>
      </c>
    </row>
    <row r="309" spans="1:8" x14ac:dyDescent="0.3">
      <c r="A309" t="str">
        <v>ZAAUTO2024-1-00306</v>
      </c>
      <c r="B309">
        <v>1</v>
      </c>
      <c r="C309">
        <v>1.5599999999999999E-2</v>
      </c>
      <c r="D309">
        <v>0.46929999999999999</v>
      </c>
      <c r="E309">
        <v>1921585.01</v>
      </c>
      <c r="F309">
        <f t="shared" si="8"/>
        <v>14068.0775850108</v>
      </c>
      <c r="G309">
        <v>14068.08</v>
      </c>
      <c r="H309">
        <f t="shared" si="9"/>
        <v>-2.41498919967853E-3</v>
      </c>
    </row>
    <row r="310" spans="1:8" x14ac:dyDescent="0.3">
      <c r="A310" t="str">
        <v>ZAAUTO2024-1-00307</v>
      </c>
      <c r="B310">
        <v>1</v>
      </c>
      <c r="C310">
        <v>1.44E-2</v>
      </c>
      <c r="D310">
        <v>0.42049999999999998</v>
      </c>
      <c r="E310">
        <v>694877.51</v>
      </c>
      <c r="F310">
        <f t="shared" si="8"/>
        <v>4207.6222985519998</v>
      </c>
      <c r="G310">
        <v>4207.62</v>
      </c>
      <c r="H310">
        <f t="shared" si="9"/>
        <v>2.298551999956544E-3</v>
      </c>
    </row>
    <row r="311" spans="1:8" x14ac:dyDescent="0.3">
      <c r="A311" t="str">
        <v>ZAAUTO2024-1-00308</v>
      </c>
      <c r="B311">
        <v>1</v>
      </c>
      <c r="C311">
        <v>2.3699999999999999E-2</v>
      </c>
      <c r="D311">
        <v>0.52729999999999999</v>
      </c>
      <c r="E311">
        <v>353059.14</v>
      </c>
      <c r="F311">
        <f t="shared" si="8"/>
        <v>4412.1836031714001</v>
      </c>
      <c r="G311">
        <v>4412.18</v>
      </c>
      <c r="H311">
        <f t="shared" si="9"/>
        <v>3.6031713998454507E-3</v>
      </c>
    </row>
    <row r="312" spans="1:8" x14ac:dyDescent="0.3">
      <c r="A312" t="str">
        <v>ZAAUTO2024-1-00309</v>
      </c>
      <c r="B312">
        <v>1</v>
      </c>
      <c r="C312">
        <v>2.1399999999999999E-2</v>
      </c>
      <c r="D312">
        <v>0.45850000000000002</v>
      </c>
      <c r="E312">
        <v>1255571.8600000001</v>
      </c>
      <c r="F312">
        <f t="shared" si="8"/>
        <v>12319.545533134002</v>
      </c>
      <c r="G312">
        <v>12319.55</v>
      </c>
      <c r="H312">
        <f t="shared" si="9"/>
        <v>-4.4668659975286573E-3</v>
      </c>
    </row>
    <row r="313" spans="1:8" x14ac:dyDescent="0.3">
      <c r="A313" t="str">
        <v>ZAAUTO2024-1-00310</v>
      </c>
      <c r="B313">
        <v>1</v>
      </c>
      <c r="C313">
        <v>2.1600000000000001E-2</v>
      </c>
      <c r="D313">
        <v>0.39410000000000001</v>
      </c>
      <c r="E313">
        <v>1497969.28</v>
      </c>
      <c r="F313">
        <f t="shared" si="8"/>
        <v>12751.553374156802</v>
      </c>
      <c r="G313">
        <v>12751.55</v>
      </c>
      <c r="H313">
        <f t="shared" si="9"/>
        <v>3.3741568022378488E-3</v>
      </c>
    </row>
    <row r="314" spans="1:8" x14ac:dyDescent="0.3">
      <c r="A314" t="str">
        <v>ZAAUTO2024-1-00311</v>
      </c>
      <c r="B314">
        <v>1</v>
      </c>
      <c r="C314">
        <v>2.5700000000000001E-2</v>
      </c>
      <c r="D314">
        <v>0.61919999999999997</v>
      </c>
      <c r="E314">
        <v>260044.1</v>
      </c>
      <c r="F314">
        <f t="shared" si="8"/>
        <v>4138.1961827040004</v>
      </c>
      <c r="G314">
        <v>4138.2</v>
      </c>
      <c r="H314">
        <f t="shared" si="9"/>
        <v>-3.8172959993971745E-3</v>
      </c>
    </row>
    <row r="315" spans="1:8" x14ac:dyDescent="0.3">
      <c r="A315" t="str">
        <v>ZAAUTO2024-1-00312</v>
      </c>
      <c r="B315">
        <v>1</v>
      </c>
      <c r="C315">
        <v>2.1299999999999999E-2</v>
      </c>
      <c r="D315">
        <v>0.54779999999999995</v>
      </c>
      <c r="E315">
        <v>341492.21</v>
      </c>
      <c r="F315">
        <f t="shared" si="8"/>
        <v>3984.5789151893996</v>
      </c>
      <c r="G315">
        <v>3984.58</v>
      </c>
      <c r="H315">
        <f t="shared" si="9"/>
        <v>-1.0848106003322755E-3</v>
      </c>
    </row>
    <row r="316" spans="1:8" x14ac:dyDescent="0.3">
      <c r="A316" t="str">
        <v>ZAAUTO2024-1-00313</v>
      </c>
      <c r="B316">
        <v>1</v>
      </c>
      <c r="C316">
        <v>1.78E-2</v>
      </c>
      <c r="D316">
        <v>0.3745</v>
      </c>
      <c r="E316">
        <v>489058.34</v>
      </c>
      <c r="F316">
        <f t="shared" si="8"/>
        <v>3260.1118002740004</v>
      </c>
      <c r="G316">
        <v>3260.11</v>
      </c>
      <c r="H316">
        <f t="shared" si="9"/>
        <v>1.8002740002884821E-3</v>
      </c>
    </row>
    <row r="317" spans="1:8" x14ac:dyDescent="0.3">
      <c r="A317" t="str">
        <v>ZAAUTO2024-1-00314</v>
      </c>
      <c r="B317">
        <v>1</v>
      </c>
      <c r="C317">
        <v>1.49E-2</v>
      </c>
      <c r="D317">
        <v>0.62619999999999998</v>
      </c>
      <c r="E317">
        <v>463485.45</v>
      </c>
      <c r="F317">
        <f t="shared" si="8"/>
        <v>4324.4953729709996</v>
      </c>
      <c r="G317">
        <v>4324.5</v>
      </c>
      <c r="H317">
        <f t="shared" si="9"/>
        <v>-4.6270290004031267E-3</v>
      </c>
    </row>
    <row r="318" spans="1:8" x14ac:dyDescent="0.3">
      <c r="A318" t="str">
        <v>ZAAUTO2024-1-00315</v>
      </c>
      <c r="B318">
        <v>1</v>
      </c>
      <c r="C318">
        <v>1.7899999999999999E-2</v>
      </c>
      <c r="D318">
        <v>0.4456</v>
      </c>
      <c r="E318">
        <v>417569.7</v>
      </c>
      <c r="F318">
        <f t="shared" si="8"/>
        <v>3330.6361439279999</v>
      </c>
      <c r="G318">
        <v>3330.64</v>
      </c>
      <c r="H318">
        <f t="shared" si="9"/>
        <v>-3.8560719999622961E-3</v>
      </c>
    </row>
    <row r="319" spans="1:8" x14ac:dyDescent="0.3">
      <c r="A319" t="str">
        <v>ZAAUTO2024-1-00316</v>
      </c>
      <c r="B319">
        <v>1</v>
      </c>
      <c r="C319">
        <v>1.7399999999999999E-2</v>
      </c>
      <c r="D319">
        <v>0.63439999999999996</v>
      </c>
      <c r="E319">
        <v>177264.26</v>
      </c>
      <c r="F319">
        <f t="shared" si="8"/>
        <v>1956.7421698656001</v>
      </c>
      <c r="G319">
        <v>1956.74</v>
      </c>
      <c r="H319">
        <f t="shared" si="9"/>
        <v>2.1698656000808114E-3</v>
      </c>
    </row>
    <row r="320" spans="1:8" x14ac:dyDescent="0.3">
      <c r="A320" t="str">
        <v>ZAAUTO2024-1-00317</v>
      </c>
      <c r="B320">
        <v>1</v>
      </c>
      <c r="C320">
        <v>2.41E-2</v>
      </c>
      <c r="D320">
        <v>0.54830000000000001</v>
      </c>
      <c r="E320">
        <v>0</v>
      </c>
      <c r="F320">
        <f t="shared" si="8"/>
        <v>0</v>
      </c>
      <c r="G320">
        <v>0</v>
      </c>
      <c r="H320">
        <f t="shared" si="9"/>
        <v>0</v>
      </c>
    </row>
    <row r="321" spans="1:8" x14ac:dyDescent="0.3">
      <c r="A321" t="str">
        <v>ZAAUTO2024-1-00318</v>
      </c>
      <c r="B321">
        <v>1</v>
      </c>
      <c r="C321">
        <v>2.4500000000000001E-2</v>
      </c>
      <c r="D321">
        <v>0.60219999999999996</v>
      </c>
      <c r="E321">
        <v>451649.35</v>
      </c>
      <c r="F321">
        <f t="shared" si="8"/>
        <v>6663.5893449650002</v>
      </c>
      <c r="G321">
        <v>6663.59</v>
      </c>
      <c r="H321">
        <f t="shared" si="9"/>
        <v>-6.5503499990882119E-4</v>
      </c>
    </row>
    <row r="322" spans="1:8" x14ac:dyDescent="0.3">
      <c r="A322" t="str">
        <v>ZAAUTO2024-1-00319</v>
      </c>
      <c r="B322">
        <v>1</v>
      </c>
      <c r="C322">
        <v>2.2100000000000002E-2</v>
      </c>
      <c r="D322">
        <v>0.47339999999999999</v>
      </c>
      <c r="E322">
        <v>767763.69</v>
      </c>
      <c r="F322">
        <f t="shared" si="8"/>
        <v>8032.4512116965998</v>
      </c>
      <c r="G322">
        <v>8032.45</v>
      </c>
      <c r="H322">
        <f t="shared" si="9"/>
        <v>1.2116965999666718E-3</v>
      </c>
    </row>
    <row r="323" spans="1:8" x14ac:dyDescent="0.3">
      <c r="A323" t="str">
        <v>ZAAUTO2024-1-00320</v>
      </c>
      <c r="B323">
        <v>1</v>
      </c>
      <c r="C323">
        <v>2.4299999999999999E-2</v>
      </c>
      <c r="D323">
        <v>0.41880000000000001</v>
      </c>
      <c r="E323">
        <v>0</v>
      </c>
      <c r="F323">
        <f t="shared" si="8"/>
        <v>0</v>
      </c>
      <c r="G323">
        <v>0</v>
      </c>
      <c r="H323">
        <f t="shared" si="9"/>
        <v>0</v>
      </c>
    </row>
    <row r="324" spans="1:8" x14ac:dyDescent="0.3">
      <c r="A324" t="str">
        <v>ZAAUTO2024-1-00321</v>
      </c>
      <c r="B324">
        <v>2</v>
      </c>
      <c r="C324">
        <v>0.1439</v>
      </c>
      <c r="D324">
        <v>0.60780000000000001</v>
      </c>
      <c r="E324">
        <v>0</v>
      </c>
      <c r="F324">
        <f t="shared" si="8"/>
        <v>0</v>
      </c>
      <c r="G324">
        <v>0</v>
      </c>
      <c r="H324">
        <f t="shared" si="9"/>
        <v>0</v>
      </c>
    </row>
    <row r="325" spans="1:8" x14ac:dyDescent="0.3">
      <c r="A325" t="str">
        <v>ZAAUTO2024-1-00322</v>
      </c>
      <c r="B325">
        <v>1</v>
      </c>
      <c r="C325">
        <v>2.1700000000000001E-2</v>
      </c>
      <c r="D325">
        <v>0.44969999999999999</v>
      </c>
      <c r="E325">
        <v>644925.97</v>
      </c>
      <c r="F325">
        <f t="shared" ref="F325:F388" si="10">MAX(0, C325*D325*E325)</f>
        <v>6293.5036289852997</v>
      </c>
      <c r="G325">
        <v>6293.5</v>
      </c>
      <c r="H325">
        <f t="shared" ref="H325:H388" si="11">F325-G325</f>
        <v>3.6289852996560512E-3</v>
      </c>
    </row>
    <row r="326" spans="1:8" x14ac:dyDescent="0.3">
      <c r="A326" t="str">
        <v>ZAAUTO2024-1-00323</v>
      </c>
      <c r="B326">
        <v>2</v>
      </c>
      <c r="C326">
        <v>0.121</v>
      </c>
      <c r="D326">
        <v>0.60760000000000003</v>
      </c>
      <c r="E326">
        <v>337072.24</v>
      </c>
      <c r="F326">
        <f t="shared" si="10"/>
        <v>24781.416255904001</v>
      </c>
      <c r="G326">
        <v>24781.42</v>
      </c>
      <c r="H326">
        <f t="shared" si="11"/>
        <v>-3.7440959968080278E-3</v>
      </c>
    </row>
    <row r="327" spans="1:8" x14ac:dyDescent="0.3">
      <c r="A327" t="str">
        <v>ZAAUTO2024-1-00324</v>
      </c>
      <c r="B327">
        <v>1</v>
      </c>
      <c r="C327">
        <v>1.5699999999999999E-2</v>
      </c>
      <c r="D327">
        <v>0.50700000000000001</v>
      </c>
      <c r="E327">
        <v>1039200.83</v>
      </c>
      <c r="F327">
        <f t="shared" si="10"/>
        <v>8271.9346867169988</v>
      </c>
      <c r="G327">
        <v>8271.93</v>
      </c>
      <c r="H327">
        <f t="shared" si="11"/>
        <v>4.6867169985489454E-3</v>
      </c>
    </row>
    <row r="328" spans="1:8" x14ac:dyDescent="0.3">
      <c r="A328" t="str">
        <v>ZAAUTO2024-1-00325</v>
      </c>
      <c r="B328">
        <v>1</v>
      </c>
      <c r="C328">
        <v>2.1499999999999998E-2</v>
      </c>
      <c r="D328">
        <v>0.62839999999999996</v>
      </c>
      <c r="E328">
        <v>232261.68</v>
      </c>
      <c r="F328">
        <f t="shared" si="10"/>
        <v>3137.9946538079994</v>
      </c>
      <c r="G328">
        <v>3137.99</v>
      </c>
      <c r="H328">
        <f t="shared" si="11"/>
        <v>4.6538079996025772E-3</v>
      </c>
    </row>
    <row r="329" spans="1:8" x14ac:dyDescent="0.3">
      <c r="A329" t="str">
        <v>ZAAUTO2024-1-00326</v>
      </c>
      <c r="B329">
        <v>3</v>
      </c>
      <c r="C329">
        <v>0.66810000000000003</v>
      </c>
      <c r="D329">
        <v>0.49259999999999998</v>
      </c>
      <c r="E329">
        <v>271619.13</v>
      </c>
      <c r="F329">
        <f t="shared" si="10"/>
        <v>89391.501694927792</v>
      </c>
      <c r="G329">
        <v>89391.5</v>
      </c>
      <c r="H329">
        <f t="shared" si="11"/>
        <v>1.6949277924140915E-3</v>
      </c>
    </row>
    <row r="330" spans="1:8" x14ac:dyDescent="0.3">
      <c r="A330" t="str">
        <v>ZAAUTO2024-1-00327</v>
      </c>
      <c r="B330">
        <v>1</v>
      </c>
      <c r="C330">
        <v>1.61E-2</v>
      </c>
      <c r="D330">
        <v>0.60980000000000001</v>
      </c>
      <c r="E330">
        <v>327821.57</v>
      </c>
      <c r="F330">
        <f t="shared" si="10"/>
        <v>3218.4800535146001</v>
      </c>
      <c r="G330">
        <v>3218.48</v>
      </c>
      <c r="H330">
        <f t="shared" si="11"/>
        <v>5.3514600040216465E-5</v>
      </c>
    </row>
    <row r="331" spans="1:8" x14ac:dyDescent="0.3">
      <c r="A331" t="str">
        <v>ZAAUTO2024-1-00328</v>
      </c>
      <c r="B331">
        <v>1</v>
      </c>
      <c r="C331">
        <v>2.5999999999999999E-2</v>
      </c>
      <c r="D331">
        <v>0.53969999999999996</v>
      </c>
      <c r="E331">
        <v>113583.55</v>
      </c>
      <c r="F331">
        <f t="shared" si="10"/>
        <v>1593.8270903099999</v>
      </c>
      <c r="G331">
        <v>1593.83</v>
      </c>
      <c r="H331">
        <f t="shared" si="11"/>
        <v>-2.9096900000240566E-3</v>
      </c>
    </row>
    <row r="332" spans="1:8" x14ac:dyDescent="0.3">
      <c r="A332" t="str">
        <v>ZAAUTO2024-1-00329</v>
      </c>
      <c r="B332">
        <v>1</v>
      </c>
      <c r="C332">
        <v>1.9E-2</v>
      </c>
      <c r="D332">
        <v>0.55030000000000001</v>
      </c>
      <c r="E332">
        <v>435825.19</v>
      </c>
      <c r="F332">
        <f t="shared" si="10"/>
        <v>4556.8574390829999</v>
      </c>
      <c r="G332">
        <v>4556.8599999999997</v>
      </c>
      <c r="H332">
        <f t="shared" si="11"/>
        <v>-2.5609169997551362E-3</v>
      </c>
    </row>
    <row r="333" spans="1:8" x14ac:dyDescent="0.3">
      <c r="A333" t="str">
        <v>ZAAUTO2024-1-00330</v>
      </c>
      <c r="B333">
        <v>1</v>
      </c>
      <c r="C333">
        <v>2.35E-2</v>
      </c>
      <c r="D333">
        <v>0.4153</v>
      </c>
      <c r="E333">
        <v>526708.84</v>
      </c>
      <c r="F333">
        <f t="shared" si="10"/>
        <v>5140.4412594220003</v>
      </c>
      <c r="G333">
        <v>5140.4399999999996</v>
      </c>
      <c r="H333">
        <f t="shared" si="11"/>
        <v>1.2594220006576506E-3</v>
      </c>
    </row>
    <row r="334" spans="1:8" x14ac:dyDescent="0.3">
      <c r="A334" t="str">
        <v>ZAAUTO2024-1-00331</v>
      </c>
      <c r="B334">
        <v>1</v>
      </c>
      <c r="C334">
        <v>1.44E-2</v>
      </c>
      <c r="D334">
        <v>0.60040000000000004</v>
      </c>
      <c r="E334">
        <v>333145.2</v>
      </c>
      <c r="F334">
        <f t="shared" si="10"/>
        <v>2880.2934443520003</v>
      </c>
      <c r="G334">
        <v>2880.29</v>
      </c>
      <c r="H334">
        <f t="shared" si="11"/>
        <v>3.4443520003151207E-3</v>
      </c>
    </row>
    <row r="335" spans="1:8" x14ac:dyDescent="0.3">
      <c r="A335" t="str">
        <v>ZAAUTO2024-1-00332</v>
      </c>
      <c r="B335">
        <v>2</v>
      </c>
      <c r="C335">
        <v>0.1381</v>
      </c>
      <c r="D335">
        <v>0.48170000000000002</v>
      </c>
      <c r="E335">
        <v>628829.29</v>
      </c>
      <c r="F335">
        <f t="shared" si="10"/>
        <v>41831.466227933306</v>
      </c>
      <c r="G335">
        <v>41831.47</v>
      </c>
      <c r="H335">
        <f t="shared" si="11"/>
        <v>-3.7720666950917803E-3</v>
      </c>
    </row>
    <row r="336" spans="1:8" x14ac:dyDescent="0.3">
      <c r="A336" t="str">
        <v>ZAAUTO2024-1-00333</v>
      </c>
      <c r="B336">
        <v>1</v>
      </c>
      <c r="C336">
        <v>1.5599999999999999E-2</v>
      </c>
      <c r="D336">
        <v>0.44990000000000002</v>
      </c>
      <c r="E336">
        <v>957436.61</v>
      </c>
      <c r="F336">
        <f t="shared" si="10"/>
        <v>6719.7114010883997</v>
      </c>
      <c r="G336">
        <v>6719.71</v>
      </c>
      <c r="H336">
        <f t="shared" si="11"/>
        <v>1.4010883996888879E-3</v>
      </c>
    </row>
    <row r="337" spans="1:8" x14ac:dyDescent="0.3">
      <c r="A337" t="str">
        <v>ZAAUTO2024-1-00334</v>
      </c>
      <c r="B337">
        <v>1</v>
      </c>
      <c r="C337">
        <v>2.3199999999999998E-2</v>
      </c>
      <c r="D337">
        <v>0.37869999999999998</v>
      </c>
      <c r="E337">
        <v>441874.06</v>
      </c>
      <c r="F337">
        <f t="shared" si="10"/>
        <v>3882.2347913103999</v>
      </c>
      <c r="G337">
        <v>3882.23</v>
      </c>
      <c r="H337">
        <f t="shared" si="11"/>
        <v>4.7913103999235318E-3</v>
      </c>
    </row>
    <row r="338" spans="1:8" x14ac:dyDescent="0.3">
      <c r="A338" t="str">
        <v>ZAAUTO2024-1-00335</v>
      </c>
      <c r="B338">
        <v>1</v>
      </c>
      <c r="C338">
        <v>1.77E-2</v>
      </c>
      <c r="D338">
        <v>0.55259999999999998</v>
      </c>
      <c r="E338">
        <v>514507.77</v>
      </c>
      <c r="F338">
        <f t="shared" si="10"/>
        <v>5032.4107885253998</v>
      </c>
      <c r="G338">
        <v>5032.41</v>
      </c>
      <c r="H338">
        <f t="shared" si="11"/>
        <v>7.885253999120323E-4</v>
      </c>
    </row>
    <row r="339" spans="1:8" x14ac:dyDescent="0.3">
      <c r="A339" t="str">
        <v>ZAAUTO2024-1-00336</v>
      </c>
      <c r="B339">
        <v>1</v>
      </c>
      <c r="C339">
        <v>2.41E-2</v>
      </c>
      <c r="D339">
        <v>0.64149999999999996</v>
      </c>
      <c r="E339">
        <v>0</v>
      </c>
      <c r="F339">
        <f t="shared" si="10"/>
        <v>0</v>
      </c>
      <c r="G339">
        <v>0</v>
      </c>
      <c r="H339">
        <f t="shared" si="11"/>
        <v>0</v>
      </c>
    </row>
    <row r="340" spans="1:8" x14ac:dyDescent="0.3">
      <c r="A340" t="str">
        <v>ZAAUTO2024-1-00337</v>
      </c>
      <c r="B340">
        <v>1</v>
      </c>
      <c r="C340">
        <v>1.7899999999999999E-2</v>
      </c>
      <c r="D340">
        <v>0.54079999999999995</v>
      </c>
      <c r="E340">
        <v>383699.9</v>
      </c>
      <c r="F340">
        <f t="shared" si="10"/>
        <v>3714.3378159680001</v>
      </c>
      <c r="G340">
        <v>3714.34</v>
      </c>
      <c r="H340">
        <f t="shared" si="11"/>
        <v>-2.1840320000592328E-3</v>
      </c>
    </row>
    <row r="341" spans="1:8" x14ac:dyDescent="0.3">
      <c r="A341" t="str">
        <v>ZAAUTO2024-1-00338</v>
      </c>
      <c r="B341">
        <v>1</v>
      </c>
      <c r="C341">
        <v>2.4E-2</v>
      </c>
      <c r="D341">
        <v>0.48</v>
      </c>
      <c r="E341">
        <v>719413.31</v>
      </c>
      <c r="F341">
        <f t="shared" si="10"/>
        <v>8287.6413312000004</v>
      </c>
      <c r="G341">
        <v>8287.64</v>
      </c>
      <c r="H341">
        <f t="shared" si="11"/>
        <v>1.3312000010046177E-3</v>
      </c>
    </row>
    <row r="342" spans="1:8" x14ac:dyDescent="0.3">
      <c r="A342" t="str">
        <v>ZAAUTO2024-1-00339</v>
      </c>
      <c r="B342">
        <v>1</v>
      </c>
      <c r="C342">
        <v>1.52E-2</v>
      </c>
      <c r="D342">
        <v>0.41739999999999999</v>
      </c>
      <c r="E342">
        <v>514175.62</v>
      </c>
      <c r="F342">
        <f t="shared" si="10"/>
        <v>3262.1769375775998</v>
      </c>
      <c r="G342">
        <v>3262.18</v>
      </c>
      <c r="H342">
        <f t="shared" si="11"/>
        <v>-3.0624224000348477E-3</v>
      </c>
    </row>
    <row r="343" spans="1:8" x14ac:dyDescent="0.3">
      <c r="A343" t="str">
        <v>ZAAUTO2024-1-00340</v>
      </c>
      <c r="B343">
        <v>1</v>
      </c>
      <c r="C343">
        <v>2.3E-2</v>
      </c>
      <c r="D343">
        <v>0.50890000000000002</v>
      </c>
      <c r="E343">
        <v>1975192.39</v>
      </c>
      <c r="F343">
        <f t="shared" si="10"/>
        <v>23119.034367232998</v>
      </c>
      <c r="G343">
        <v>23119.03</v>
      </c>
      <c r="H343">
        <f t="shared" si="11"/>
        <v>4.3672329993569292E-3</v>
      </c>
    </row>
    <row r="344" spans="1:8" x14ac:dyDescent="0.3">
      <c r="A344" t="str">
        <v>ZAAUTO2024-1-00341</v>
      </c>
      <c r="B344">
        <v>1</v>
      </c>
      <c r="C344">
        <v>2.06E-2</v>
      </c>
      <c r="D344">
        <v>0.4556</v>
      </c>
      <c r="E344">
        <v>603659.91</v>
      </c>
      <c r="F344">
        <f t="shared" si="10"/>
        <v>5665.5655729176005</v>
      </c>
      <c r="G344">
        <v>5665.57</v>
      </c>
      <c r="H344">
        <f t="shared" si="11"/>
        <v>-4.4270823991610087E-3</v>
      </c>
    </row>
    <row r="345" spans="1:8" x14ac:dyDescent="0.3">
      <c r="A345" t="str">
        <v>ZAAUTO2024-1-00342</v>
      </c>
      <c r="B345">
        <v>1</v>
      </c>
      <c r="C345">
        <v>2.12E-2</v>
      </c>
      <c r="D345">
        <v>0.5696</v>
      </c>
      <c r="E345">
        <v>1850907.54</v>
      </c>
      <c r="F345">
        <f t="shared" si="10"/>
        <v>22350.671017420798</v>
      </c>
      <c r="G345">
        <v>22350.67</v>
      </c>
      <c r="H345">
        <f t="shared" si="11"/>
        <v>1.0174208000535145E-3</v>
      </c>
    </row>
    <row r="346" spans="1:8" x14ac:dyDescent="0.3">
      <c r="A346" t="str">
        <v>ZAAUTO2024-1-00343</v>
      </c>
      <c r="B346">
        <v>1</v>
      </c>
      <c r="C346">
        <v>2.4500000000000001E-2</v>
      </c>
      <c r="D346">
        <v>0.62270000000000003</v>
      </c>
      <c r="E346">
        <v>296863.37</v>
      </c>
      <c r="F346">
        <f t="shared" si="10"/>
        <v>4528.9921022255003</v>
      </c>
      <c r="G346">
        <v>4528.99</v>
      </c>
      <c r="H346">
        <f t="shared" si="11"/>
        <v>2.1022255004936596E-3</v>
      </c>
    </row>
    <row r="347" spans="1:8" x14ac:dyDescent="0.3">
      <c r="A347" t="str">
        <v>ZAAUTO2024-1-00344</v>
      </c>
      <c r="B347">
        <v>1</v>
      </c>
      <c r="C347">
        <v>2.4199999999999999E-2</v>
      </c>
      <c r="D347">
        <v>0.57740000000000002</v>
      </c>
      <c r="E347">
        <v>2109529.6</v>
      </c>
      <c r="F347">
        <f t="shared" si="10"/>
        <v>29476.625863168003</v>
      </c>
      <c r="G347">
        <v>29476.63</v>
      </c>
      <c r="H347">
        <f t="shared" si="11"/>
        <v>-4.1368319980392698E-3</v>
      </c>
    </row>
    <row r="348" spans="1:8" x14ac:dyDescent="0.3">
      <c r="A348" t="str">
        <v>ZAAUTO2024-1-00345</v>
      </c>
      <c r="B348">
        <v>1</v>
      </c>
      <c r="C348">
        <v>2.2599999999999999E-2</v>
      </c>
      <c r="D348">
        <v>0.442</v>
      </c>
      <c r="E348">
        <v>994073.77</v>
      </c>
      <c r="F348">
        <f t="shared" si="10"/>
        <v>9930.0017032840005</v>
      </c>
      <c r="G348">
        <v>9930</v>
      </c>
      <c r="H348">
        <f t="shared" si="11"/>
        <v>1.7032840005413163E-3</v>
      </c>
    </row>
    <row r="349" spans="1:8" x14ac:dyDescent="0.3">
      <c r="A349" t="str">
        <v>ZAAUTO2024-1-00346</v>
      </c>
      <c r="B349">
        <v>3</v>
      </c>
      <c r="C349">
        <v>0.68440000000000001</v>
      </c>
      <c r="D349">
        <v>0.61909999999999998</v>
      </c>
      <c r="E349">
        <v>214947.85</v>
      </c>
      <c r="F349">
        <f t="shared" si="10"/>
        <v>91075.992017114011</v>
      </c>
      <c r="G349">
        <v>91075.99</v>
      </c>
      <c r="H349">
        <f t="shared" si="11"/>
        <v>2.0171140058664605E-3</v>
      </c>
    </row>
    <row r="350" spans="1:8" x14ac:dyDescent="0.3">
      <c r="A350" t="str">
        <v>ZAAUTO2024-1-00347</v>
      </c>
      <c r="B350">
        <v>1</v>
      </c>
      <c r="C350">
        <v>1.6899999999999998E-2</v>
      </c>
      <c r="D350">
        <v>0.58919999999999995</v>
      </c>
      <c r="E350">
        <v>892357</v>
      </c>
      <c r="F350">
        <f t="shared" si="10"/>
        <v>8885.6269803599971</v>
      </c>
      <c r="G350">
        <v>8885.6299999999992</v>
      </c>
      <c r="H350">
        <f t="shared" si="11"/>
        <v>-3.0196400020940928E-3</v>
      </c>
    </row>
    <row r="351" spans="1:8" x14ac:dyDescent="0.3">
      <c r="A351" t="str">
        <v>ZAAUTO2024-1-00348</v>
      </c>
      <c r="B351">
        <v>1</v>
      </c>
      <c r="C351">
        <v>1.7600000000000001E-2</v>
      </c>
      <c r="D351">
        <v>0.35289999999999999</v>
      </c>
      <c r="E351">
        <v>1275807.6499999999</v>
      </c>
      <c r="F351">
        <f t="shared" si="10"/>
        <v>7924.0923464559992</v>
      </c>
      <c r="G351">
        <v>7924.09</v>
      </c>
      <c r="H351">
        <f t="shared" si="11"/>
        <v>2.3464559990316047E-3</v>
      </c>
    </row>
    <row r="352" spans="1:8" x14ac:dyDescent="0.3">
      <c r="A352" t="str">
        <v>ZAAUTO2024-1-00349</v>
      </c>
      <c r="B352">
        <v>1</v>
      </c>
      <c r="C352">
        <v>1.6E-2</v>
      </c>
      <c r="D352">
        <v>0.36969999999999997</v>
      </c>
      <c r="E352">
        <v>2136953.36</v>
      </c>
      <c r="F352">
        <f t="shared" si="10"/>
        <v>12640.506515071998</v>
      </c>
      <c r="G352">
        <v>12640.51</v>
      </c>
      <c r="H352">
        <f t="shared" si="11"/>
        <v>-3.4849280018534046E-3</v>
      </c>
    </row>
    <row r="353" spans="1:8" x14ac:dyDescent="0.3">
      <c r="A353" t="str">
        <v>ZAAUTO2024-1-00350</v>
      </c>
      <c r="B353">
        <v>1</v>
      </c>
      <c r="C353">
        <v>1.67E-2</v>
      </c>
      <c r="D353">
        <v>0.4289</v>
      </c>
      <c r="E353">
        <v>494303.6</v>
      </c>
      <c r="F353">
        <f t="shared" si="10"/>
        <v>3540.5137944679996</v>
      </c>
      <c r="G353">
        <v>3540.51</v>
      </c>
      <c r="H353">
        <f t="shared" si="11"/>
        <v>3.7944679993415775E-3</v>
      </c>
    </row>
    <row r="354" spans="1:8" x14ac:dyDescent="0.3">
      <c r="A354" t="str">
        <v>ZAAUTO2024-1-00351</v>
      </c>
      <c r="B354">
        <v>1</v>
      </c>
      <c r="C354">
        <v>2.3599999999999999E-2</v>
      </c>
      <c r="D354">
        <v>0.5353</v>
      </c>
      <c r="E354">
        <v>1127288.51</v>
      </c>
      <c r="F354">
        <f t="shared" si="10"/>
        <v>14241.125929910801</v>
      </c>
      <c r="G354">
        <v>14241.13</v>
      </c>
      <c r="H354">
        <f t="shared" si="11"/>
        <v>-4.0700891986489296E-3</v>
      </c>
    </row>
    <row r="355" spans="1:8" x14ac:dyDescent="0.3">
      <c r="A355" t="str">
        <v>ZAAUTO2024-1-00352</v>
      </c>
      <c r="B355">
        <v>2</v>
      </c>
      <c r="C355">
        <v>0.11559999999999999</v>
      </c>
      <c r="D355">
        <v>0.44840000000000002</v>
      </c>
      <c r="E355">
        <v>2407585.48</v>
      </c>
      <c r="F355">
        <f t="shared" si="10"/>
        <v>124797.2896592192</v>
      </c>
      <c r="G355">
        <v>124797.29</v>
      </c>
      <c r="H355">
        <f t="shared" si="11"/>
        <v>-3.4078079625032842E-4</v>
      </c>
    </row>
    <row r="356" spans="1:8" x14ac:dyDescent="0.3">
      <c r="A356" t="str">
        <v>ZAAUTO2024-1-00353</v>
      </c>
      <c r="B356">
        <v>1</v>
      </c>
      <c r="C356">
        <v>1.4200000000000001E-2</v>
      </c>
      <c r="D356">
        <v>0.48120000000000002</v>
      </c>
      <c r="E356">
        <v>584852.85</v>
      </c>
      <c r="F356">
        <f t="shared" si="10"/>
        <v>3996.3229181639999</v>
      </c>
      <c r="G356">
        <v>3996.32</v>
      </c>
      <c r="H356">
        <f t="shared" si="11"/>
        <v>2.9181639997659659E-3</v>
      </c>
    </row>
    <row r="357" spans="1:8" x14ac:dyDescent="0.3">
      <c r="A357" t="str">
        <v>ZAAUTO2024-1-00354</v>
      </c>
      <c r="B357">
        <v>1</v>
      </c>
      <c r="C357">
        <v>2.1499999999999998E-2</v>
      </c>
      <c r="D357">
        <v>0.46700000000000003</v>
      </c>
      <c r="E357">
        <v>651249.15</v>
      </c>
      <c r="F357">
        <f t="shared" si="10"/>
        <v>6538.8670905749996</v>
      </c>
      <c r="G357">
        <v>6538.87</v>
      </c>
      <c r="H357">
        <f t="shared" si="11"/>
        <v>-2.9094250003254274E-3</v>
      </c>
    </row>
    <row r="358" spans="1:8" x14ac:dyDescent="0.3">
      <c r="A358" t="str">
        <v>ZAAUTO2024-1-00355</v>
      </c>
      <c r="B358">
        <v>1</v>
      </c>
      <c r="C358">
        <v>2.4500000000000001E-2</v>
      </c>
      <c r="D358">
        <v>0.63329999999999997</v>
      </c>
      <c r="E358">
        <v>666743.15</v>
      </c>
      <c r="F358">
        <f t="shared" si="10"/>
        <v>10345.0867039275</v>
      </c>
      <c r="G358">
        <v>10345.09</v>
      </c>
      <c r="H358">
        <f t="shared" si="11"/>
        <v>-3.2960725002340041E-3</v>
      </c>
    </row>
    <row r="359" spans="1:8" x14ac:dyDescent="0.3">
      <c r="A359" t="str">
        <v>ZAAUTO2024-1-00356</v>
      </c>
      <c r="B359">
        <v>1</v>
      </c>
      <c r="C359">
        <v>2.53E-2</v>
      </c>
      <c r="D359">
        <v>0.3548</v>
      </c>
      <c r="E359">
        <v>1065120.99</v>
      </c>
      <c r="F359">
        <f t="shared" si="10"/>
        <v>9560.9946594756002</v>
      </c>
      <c r="G359">
        <v>9560.99</v>
      </c>
      <c r="H359">
        <f t="shared" si="11"/>
        <v>4.6594756004196825E-3</v>
      </c>
    </row>
    <row r="360" spans="1:8" x14ac:dyDescent="0.3">
      <c r="A360" t="str">
        <v>ZAAUTO2024-1-00357</v>
      </c>
      <c r="B360">
        <v>1</v>
      </c>
      <c r="C360">
        <v>1.8499999999999999E-2</v>
      </c>
      <c r="D360">
        <v>0.47449999999999998</v>
      </c>
      <c r="E360">
        <v>361700.08</v>
      </c>
      <c r="F360">
        <f t="shared" si="10"/>
        <v>3175.0937272599999</v>
      </c>
      <c r="G360">
        <v>3175.09</v>
      </c>
      <c r="H360">
        <f t="shared" si="11"/>
        <v>3.7272599997777434E-3</v>
      </c>
    </row>
    <row r="361" spans="1:8" x14ac:dyDescent="0.3">
      <c r="A361" t="str">
        <v>ZAAUTO2024-1-00358</v>
      </c>
      <c r="B361">
        <v>1</v>
      </c>
      <c r="C361">
        <v>1.9E-2</v>
      </c>
      <c r="D361">
        <v>0.36990000000000001</v>
      </c>
      <c r="E361">
        <v>480037.04</v>
      </c>
      <c r="F361">
        <f t="shared" si="10"/>
        <v>3373.7483208239996</v>
      </c>
      <c r="G361">
        <v>3373.75</v>
      </c>
      <c r="H361">
        <f t="shared" si="11"/>
        <v>-1.6791760003798117E-3</v>
      </c>
    </row>
    <row r="362" spans="1:8" x14ac:dyDescent="0.3">
      <c r="A362" t="str">
        <v>ZAAUTO2024-1-00359</v>
      </c>
      <c r="B362">
        <v>1</v>
      </c>
      <c r="C362">
        <v>2.2800000000000001E-2</v>
      </c>
      <c r="D362">
        <v>0.44030000000000002</v>
      </c>
      <c r="E362">
        <v>575202.16</v>
      </c>
      <c r="F362">
        <f t="shared" si="10"/>
        <v>5774.3624518944007</v>
      </c>
      <c r="G362">
        <v>5774.36</v>
      </c>
      <c r="H362">
        <f t="shared" si="11"/>
        <v>2.4518944010196719E-3</v>
      </c>
    </row>
    <row r="363" spans="1:8" x14ac:dyDescent="0.3">
      <c r="A363" t="str">
        <v>ZAAUTO2024-1-00360</v>
      </c>
      <c r="B363">
        <v>1</v>
      </c>
      <c r="C363">
        <v>1.9400000000000001E-2</v>
      </c>
      <c r="D363">
        <v>0.41449999999999998</v>
      </c>
      <c r="E363">
        <v>0</v>
      </c>
      <c r="F363">
        <f t="shared" si="10"/>
        <v>0</v>
      </c>
      <c r="G363">
        <v>0</v>
      </c>
      <c r="H363">
        <f t="shared" si="11"/>
        <v>0</v>
      </c>
    </row>
    <row r="364" spans="1:8" x14ac:dyDescent="0.3">
      <c r="A364" t="str">
        <v>ZAAUTO2024-1-00361</v>
      </c>
      <c r="B364">
        <v>1</v>
      </c>
      <c r="C364">
        <v>1.9199999999999998E-2</v>
      </c>
      <c r="D364">
        <v>0.64529999999999998</v>
      </c>
      <c r="E364">
        <v>755830.28</v>
      </c>
      <c r="F364">
        <f t="shared" si="10"/>
        <v>9364.5557699327983</v>
      </c>
      <c r="G364">
        <v>9364.56</v>
      </c>
      <c r="H364">
        <f t="shared" si="11"/>
        <v>-4.2300672012061113E-3</v>
      </c>
    </row>
    <row r="365" spans="1:8" x14ac:dyDescent="0.3">
      <c r="A365" t="str">
        <v>ZAAUTO2024-1-00362</v>
      </c>
      <c r="B365">
        <v>1</v>
      </c>
      <c r="C365">
        <v>2.4299999999999999E-2</v>
      </c>
      <c r="D365">
        <v>0.4335</v>
      </c>
      <c r="E365">
        <v>1253617.8</v>
      </c>
      <c r="F365">
        <f t="shared" si="10"/>
        <v>13205.672586090001</v>
      </c>
      <c r="G365">
        <v>13205.67</v>
      </c>
      <c r="H365">
        <f t="shared" si="11"/>
        <v>2.5860900004772702E-3</v>
      </c>
    </row>
    <row r="366" spans="1:8" x14ac:dyDescent="0.3">
      <c r="A366" t="str">
        <v>ZAAUTO2024-1-00363</v>
      </c>
      <c r="B366">
        <v>1</v>
      </c>
      <c r="C366">
        <v>1.6500000000000001E-2</v>
      </c>
      <c r="D366">
        <v>0.39269999999999999</v>
      </c>
      <c r="E366">
        <v>0</v>
      </c>
      <c r="F366">
        <f t="shared" si="10"/>
        <v>0</v>
      </c>
      <c r="G366">
        <v>0</v>
      </c>
      <c r="H366">
        <f t="shared" si="11"/>
        <v>0</v>
      </c>
    </row>
    <row r="367" spans="1:8" x14ac:dyDescent="0.3">
      <c r="A367" t="str">
        <v>ZAAUTO2024-1-00364</v>
      </c>
      <c r="B367">
        <v>1</v>
      </c>
      <c r="C367">
        <v>1.5100000000000001E-2</v>
      </c>
      <c r="D367">
        <v>0.56950000000000001</v>
      </c>
      <c r="E367">
        <v>2139620.83</v>
      </c>
      <c r="F367">
        <f t="shared" si="10"/>
        <v>18399.562346543502</v>
      </c>
      <c r="G367">
        <v>18399.560000000001</v>
      </c>
      <c r="H367">
        <f t="shared" si="11"/>
        <v>2.3465435006073676E-3</v>
      </c>
    </row>
    <row r="368" spans="1:8" x14ac:dyDescent="0.3">
      <c r="A368" t="str">
        <v>ZAAUTO2024-1-00365</v>
      </c>
      <c r="B368">
        <v>1</v>
      </c>
      <c r="C368">
        <v>2.1299999999999999E-2</v>
      </c>
      <c r="D368">
        <v>0.61109999999999998</v>
      </c>
      <c r="E368">
        <v>2690373.66</v>
      </c>
      <c r="F368">
        <f t="shared" si="10"/>
        <v>35019.0604192338</v>
      </c>
      <c r="G368">
        <v>35019.06</v>
      </c>
      <c r="H368">
        <f t="shared" si="11"/>
        <v>4.192338019493036E-4</v>
      </c>
    </row>
    <row r="369" spans="1:8" x14ac:dyDescent="0.3">
      <c r="A369" t="str">
        <v>ZAAUTO2024-1-00366</v>
      </c>
      <c r="B369">
        <v>1</v>
      </c>
      <c r="C369">
        <v>2.3800000000000002E-2</v>
      </c>
      <c r="D369">
        <v>0.45319999999999999</v>
      </c>
      <c r="E369">
        <v>0</v>
      </c>
      <c r="F369">
        <f t="shared" si="10"/>
        <v>0</v>
      </c>
      <c r="G369">
        <v>0</v>
      </c>
      <c r="H369">
        <f t="shared" si="11"/>
        <v>0</v>
      </c>
    </row>
    <row r="370" spans="1:8" x14ac:dyDescent="0.3">
      <c r="A370" t="str">
        <v>ZAAUTO2024-1-00367</v>
      </c>
      <c r="B370">
        <v>2</v>
      </c>
      <c r="C370">
        <v>0.10829999999999999</v>
      </c>
      <c r="D370">
        <v>0.48130000000000001</v>
      </c>
      <c r="E370">
        <v>476807.93</v>
      </c>
      <c r="F370">
        <f t="shared" si="10"/>
        <v>24853.513221584697</v>
      </c>
      <c r="G370">
        <v>24853.51</v>
      </c>
      <c r="H370">
        <f t="shared" si="11"/>
        <v>3.2215846986218821E-3</v>
      </c>
    </row>
    <row r="371" spans="1:8" x14ac:dyDescent="0.3">
      <c r="A371" t="str">
        <v>ZAAUTO2024-1-00368</v>
      </c>
      <c r="B371">
        <v>1</v>
      </c>
      <c r="C371">
        <v>2.5999999999999999E-2</v>
      </c>
      <c r="D371">
        <v>0.48280000000000001</v>
      </c>
      <c r="E371">
        <v>632530.98</v>
      </c>
      <c r="F371">
        <f t="shared" si="10"/>
        <v>7940.0348857439994</v>
      </c>
      <c r="G371">
        <v>7940.03</v>
      </c>
      <c r="H371">
        <f t="shared" si="11"/>
        <v>4.8857439996936591E-3</v>
      </c>
    </row>
    <row r="372" spans="1:8" x14ac:dyDescent="0.3">
      <c r="A372" t="str">
        <v>ZAAUTO2024-1-00369</v>
      </c>
      <c r="B372">
        <v>1</v>
      </c>
      <c r="C372">
        <v>2.0500000000000001E-2</v>
      </c>
      <c r="D372">
        <v>0.37309999999999999</v>
      </c>
      <c r="E372">
        <v>79084.33</v>
      </c>
      <c r="F372">
        <f t="shared" si="10"/>
        <v>604.88045222150004</v>
      </c>
      <c r="G372">
        <v>604.88</v>
      </c>
      <c r="H372">
        <f t="shared" si="11"/>
        <v>4.5222150004065043E-4</v>
      </c>
    </row>
    <row r="373" spans="1:8" x14ac:dyDescent="0.3">
      <c r="A373" t="str">
        <v>ZAAUTO2024-1-00370</v>
      </c>
      <c r="B373">
        <v>1</v>
      </c>
      <c r="C373">
        <v>2.4400000000000002E-2</v>
      </c>
      <c r="D373">
        <v>0.39439999999999997</v>
      </c>
      <c r="E373">
        <v>303252.33</v>
      </c>
      <c r="F373">
        <f t="shared" si="10"/>
        <v>2918.3063424287998</v>
      </c>
      <c r="G373">
        <v>2918.31</v>
      </c>
      <c r="H373">
        <f t="shared" si="11"/>
        <v>-3.6575712001649663E-3</v>
      </c>
    </row>
    <row r="374" spans="1:8" x14ac:dyDescent="0.3">
      <c r="A374" t="str">
        <v>ZAAUTO2024-1-00371</v>
      </c>
      <c r="B374">
        <v>3</v>
      </c>
      <c r="C374">
        <v>0.96860000000000002</v>
      </c>
      <c r="D374">
        <v>0.42459999999999998</v>
      </c>
      <c r="E374">
        <v>1153623.8999999999</v>
      </c>
      <c r="F374">
        <f t="shared" si="10"/>
        <v>474448.08651068393</v>
      </c>
      <c r="G374">
        <v>474448.09</v>
      </c>
      <c r="H374">
        <f t="shared" si="11"/>
        <v>-3.4893160918727517E-3</v>
      </c>
    </row>
    <row r="375" spans="1:8" x14ac:dyDescent="0.3">
      <c r="A375" t="str">
        <v>ZAAUTO2024-1-00372</v>
      </c>
      <c r="B375">
        <v>1</v>
      </c>
      <c r="C375">
        <v>2.3E-2</v>
      </c>
      <c r="D375">
        <v>0.50719999999999998</v>
      </c>
      <c r="E375">
        <v>817410.85</v>
      </c>
      <c r="F375">
        <f t="shared" si="10"/>
        <v>9535.5880117599991</v>
      </c>
      <c r="G375">
        <v>9535.59</v>
      </c>
      <c r="H375">
        <f t="shared" si="11"/>
        <v>-1.988240001082886E-3</v>
      </c>
    </row>
    <row r="376" spans="1:8" x14ac:dyDescent="0.3">
      <c r="A376" t="str">
        <v>ZAAUTO2024-1-00373</v>
      </c>
      <c r="B376">
        <v>1</v>
      </c>
      <c r="C376">
        <v>2.1499999999999998E-2</v>
      </c>
      <c r="D376">
        <v>0.63060000000000005</v>
      </c>
      <c r="E376">
        <v>34883.589999999997</v>
      </c>
      <c r="F376">
        <f t="shared" si="10"/>
        <v>472.94822486099991</v>
      </c>
      <c r="G376">
        <v>472.95</v>
      </c>
      <c r="H376">
        <f t="shared" si="11"/>
        <v>-1.7751390000739775E-3</v>
      </c>
    </row>
    <row r="377" spans="1:8" x14ac:dyDescent="0.3">
      <c r="A377" t="str">
        <v>ZAAUTO2024-1-00374</v>
      </c>
      <c r="B377">
        <v>1</v>
      </c>
      <c r="C377">
        <v>2.4199999999999999E-2</v>
      </c>
      <c r="D377">
        <v>0.37730000000000002</v>
      </c>
      <c r="E377">
        <v>564432.81999999995</v>
      </c>
      <c r="F377">
        <f t="shared" si="10"/>
        <v>5153.6441722611999</v>
      </c>
      <c r="G377">
        <v>5153.6400000000003</v>
      </c>
      <c r="H377">
        <f t="shared" si="11"/>
        <v>4.1722611995282932E-3</v>
      </c>
    </row>
    <row r="378" spans="1:8" x14ac:dyDescent="0.3">
      <c r="A378" t="str">
        <v>ZAAUTO2024-1-00375</v>
      </c>
      <c r="B378">
        <v>1</v>
      </c>
      <c r="C378">
        <v>1.77E-2</v>
      </c>
      <c r="D378">
        <v>0.5262</v>
      </c>
      <c r="E378">
        <v>1954101.37</v>
      </c>
      <c r="F378">
        <f t="shared" si="10"/>
        <v>18199.992093823803</v>
      </c>
      <c r="G378">
        <v>18199.990000000002</v>
      </c>
      <c r="H378">
        <f t="shared" si="11"/>
        <v>2.0938238012604415E-3</v>
      </c>
    </row>
    <row r="379" spans="1:8" x14ac:dyDescent="0.3">
      <c r="A379" t="str">
        <v>ZAAUTO2024-1-00376</v>
      </c>
      <c r="B379">
        <v>2</v>
      </c>
      <c r="C379">
        <v>0.15060000000000001</v>
      </c>
      <c r="D379">
        <v>0.35139999999999999</v>
      </c>
      <c r="E379">
        <v>435601.5</v>
      </c>
      <c r="F379">
        <f t="shared" si="10"/>
        <v>23052.397285260002</v>
      </c>
      <c r="G379">
        <v>23052.400000000001</v>
      </c>
      <c r="H379">
        <f t="shared" si="11"/>
        <v>-2.7147399996465538E-3</v>
      </c>
    </row>
    <row r="380" spans="1:8" x14ac:dyDescent="0.3">
      <c r="A380" t="str">
        <v>ZAAUTO2024-1-00377</v>
      </c>
      <c r="B380">
        <v>1</v>
      </c>
      <c r="C380">
        <v>2.1499999999999998E-2</v>
      </c>
      <c r="D380">
        <v>0.46860000000000002</v>
      </c>
      <c r="E380">
        <v>609158.09</v>
      </c>
      <c r="F380">
        <f t="shared" si="10"/>
        <v>6137.2068409409994</v>
      </c>
      <c r="G380">
        <v>6137.21</v>
      </c>
      <c r="H380">
        <f t="shared" si="11"/>
        <v>-3.1590590006089769E-3</v>
      </c>
    </row>
    <row r="381" spans="1:8" x14ac:dyDescent="0.3">
      <c r="A381" t="str">
        <v>ZAAUTO2024-1-00378</v>
      </c>
      <c r="B381">
        <v>1</v>
      </c>
      <c r="C381">
        <v>1.4999999999999999E-2</v>
      </c>
      <c r="D381">
        <v>0.55810000000000004</v>
      </c>
      <c r="E381">
        <v>1027366.14</v>
      </c>
      <c r="F381">
        <f t="shared" si="10"/>
        <v>8600.5956410100007</v>
      </c>
      <c r="G381">
        <v>8600.6</v>
      </c>
      <c r="H381">
        <f t="shared" si="11"/>
        <v>-4.3589899996732129E-3</v>
      </c>
    </row>
    <row r="382" spans="1:8" x14ac:dyDescent="0.3">
      <c r="A382" t="str">
        <v>ZAAUTO2024-1-00379</v>
      </c>
      <c r="B382">
        <v>1</v>
      </c>
      <c r="C382">
        <v>2.4500000000000001E-2</v>
      </c>
      <c r="D382">
        <v>0.37080000000000002</v>
      </c>
      <c r="E382">
        <v>589531.43000000005</v>
      </c>
      <c r="F382">
        <f t="shared" si="10"/>
        <v>5355.6572289780006</v>
      </c>
      <c r="G382">
        <v>5355.66</v>
      </c>
      <c r="H382">
        <f t="shared" si="11"/>
        <v>-2.7710219992513885E-3</v>
      </c>
    </row>
    <row r="383" spans="1:8" x14ac:dyDescent="0.3">
      <c r="A383" t="str">
        <v>ZAAUTO2024-1-00380</v>
      </c>
      <c r="B383">
        <v>1</v>
      </c>
      <c r="C383">
        <v>1.9400000000000001E-2</v>
      </c>
      <c r="D383">
        <v>0.57440000000000002</v>
      </c>
      <c r="E383">
        <v>384527.28</v>
      </c>
      <c r="F383">
        <f t="shared" si="10"/>
        <v>4284.9259108608012</v>
      </c>
      <c r="G383">
        <v>4284.93</v>
      </c>
      <c r="H383">
        <f t="shared" si="11"/>
        <v>-4.0891391990953707E-3</v>
      </c>
    </row>
    <row r="384" spans="1:8" x14ac:dyDescent="0.3">
      <c r="A384" t="str">
        <v>ZAAUTO2024-1-00381</v>
      </c>
      <c r="B384">
        <v>1</v>
      </c>
      <c r="C384">
        <v>1.9599999999999999E-2</v>
      </c>
      <c r="D384">
        <v>0.45129999999999998</v>
      </c>
      <c r="E384">
        <v>919717.07</v>
      </c>
      <c r="F384">
        <f t="shared" si="10"/>
        <v>8135.3389483435985</v>
      </c>
      <c r="G384">
        <v>8135.34</v>
      </c>
      <c r="H384">
        <f t="shared" si="11"/>
        <v>-1.0516564016143093E-3</v>
      </c>
    </row>
    <row r="385" spans="1:8" x14ac:dyDescent="0.3">
      <c r="A385" t="str">
        <v>ZAAUTO2024-1-00382</v>
      </c>
      <c r="B385">
        <v>1</v>
      </c>
      <c r="C385">
        <v>2.23E-2</v>
      </c>
      <c r="D385">
        <v>0.46579999999999999</v>
      </c>
      <c r="E385">
        <v>1369919.43</v>
      </c>
      <c r="F385">
        <f t="shared" si="10"/>
        <v>14229.818892016199</v>
      </c>
      <c r="G385">
        <v>14229.82</v>
      </c>
      <c r="H385">
        <f t="shared" si="11"/>
        <v>-1.1079838004661724E-3</v>
      </c>
    </row>
    <row r="386" spans="1:8" x14ac:dyDescent="0.3">
      <c r="A386" t="str">
        <v>ZAAUTO2024-1-00383</v>
      </c>
      <c r="B386">
        <v>1</v>
      </c>
      <c r="C386">
        <v>2.41E-2</v>
      </c>
      <c r="D386">
        <v>0.45889999999999997</v>
      </c>
      <c r="E386">
        <v>1232701.75</v>
      </c>
      <c r="F386">
        <f t="shared" si="10"/>
        <v>13633.0526771075</v>
      </c>
      <c r="G386">
        <v>13633.05</v>
      </c>
      <c r="H386">
        <f t="shared" si="11"/>
        <v>2.6771075008582557E-3</v>
      </c>
    </row>
    <row r="387" spans="1:8" x14ac:dyDescent="0.3">
      <c r="A387" t="str">
        <v>ZAAUTO2024-1-00384</v>
      </c>
      <c r="B387">
        <v>1</v>
      </c>
      <c r="C387">
        <v>2.52E-2</v>
      </c>
      <c r="D387">
        <v>0.52549999999999997</v>
      </c>
      <c r="E387">
        <v>282955.03999999998</v>
      </c>
      <c r="F387">
        <f t="shared" si="10"/>
        <v>3747.0604127039992</v>
      </c>
      <c r="G387">
        <v>3747.06</v>
      </c>
      <c r="H387">
        <f t="shared" si="11"/>
        <v>4.1270399924542289E-4</v>
      </c>
    </row>
    <row r="388" spans="1:8" x14ac:dyDescent="0.3">
      <c r="A388" t="str">
        <v>ZAAUTO2024-1-00385</v>
      </c>
      <c r="B388">
        <v>1</v>
      </c>
      <c r="C388">
        <v>1.9900000000000001E-2</v>
      </c>
      <c r="D388">
        <v>0.62170000000000003</v>
      </c>
      <c r="E388">
        <v>132090.82999999999</v>
      </c>
      <c r="F388">
        <f t="shared" si="10"/>
        <v>1634.2052933189002</v>
      </c>
      <c r="G388">
        <v>1634.21</v>
      </c>
      <c r="H388">
        <f t="shared" si="11"/>
        <v>-4.7066810998330766E-3</v>
      </c>
    </row>
    <row r="389" spans="1:8" x14ac:dyDescent="0.3">
      <c r="A389" t="str">
        <v>ZAAUTO2024-1-00386</v>
      </c>
      <c r="B389">
        <v>1</v>
      </c>
      <c r="C389">
        <v>1.72E-2</v>
      </c>
      <c r="D389">
        <v>0.624</v>
      </c>
      <c r="E389">
        <v>313363.27</v>
      </c>
      <c r="F389">
        <f t="shared" ref="F389:F452" si="12">MAX(0, C389*D389*E389)</f>
        <v>3363.2653042560005</v>
      </c>
      <c r="G389">
        <v>3363.27</v>
      </c>
      <c r="H389">
        <f t="shared" ref="H389:H452" si="13">F389-G389</f>
        <v>-4.695743999491242E-3</v>
      </c>
    </row>
    <row r="390" spans="1:8" x14ac:dyDescent="0.3">
      <c r="A390" t="str">
        <v>ZAAUTO2024-1-00387</v>
      </c>
      <c r="B390">
        <v>1</v>
      </c>
      <c r="C390">
        <v>1.9199999999999998E-2</v>
      </c>
      <c r="D390">
        <v>0.55569999999999997</v>
      </c>
      <c r="E390">
        <v>0</v>
      </c>
      <c r="F390">
        <f t="shared" si="12"/>
        <v>0</v>
      </c>
      <c r="G390">
        <v>0</v>
      </c>
      <c r="H390">
        <f t="shared" si="13"/>
        <v>0</v>
      </c>
    </row>
    <row r="391" spans="1:8" x14ac:dyDescent="0.3">
      <c r="A391" t="str">
        <v>ZAAUTO2024-1-00388</v>
      </c>
      <c r="B391">
        <v>1</v>
      </c>
      <c r="C391">
        <v>2.01E-2</v>
      </c>
      <c r="D391">
        <v>0.43559999999999999</v>
      </c>
      <c r="E391">
        <v>717117.42</v>
      </c>
      <c r="F391">
        <f t="shared" si="12"/>
        <v>6278.7645978552</v>
      </c>
      <c r="G391">
        <v>6278.76</v>
      </c>
      <c r="H391">
        <f t="shared" si="13"/>
        <v>4.5978551997905015E-3</v>
      </c>
    </row>
    <row r="392" spans="1:8" x14ac:dyDescent="0.3">
      <c r="A392" t="str">
        <v>ZAAUTO2024-1-00389</v>
      </c>
      <c r="B392">
        <v>1</v>
      </c>
      <c r="C392">
        <v>1.67E-2</v>
      </c>
      <c r="D392">
        <v>0.4012</v>
      </c>
      <c r="E392">
        <v>11816.28</v>
      </c>
      <c r="F392">
        <f t="shared" si="12"/>
        <v>79.169548651200003</v>
      </c>
      <c r="G392">
        <v>79.17</v>
      </c>
      <c r="H392">
        <f t="shared" si="13"/>
        <v>-4.5134879999864097E-4</v>
      </c>
    </row>
    <row r="393" spans="1:8" x14ac:dyDescent="0.3">
      <c r="A393" t="str">
        <v>ZAAUTO2024-1-00390</v>
      </c>
      <c r="B393">
        <v>1</v>
      </c>
      <c r="C393">
        <v>1.67E-2</v>
      </c>
      <c r="D393">
        <v>0.496</v>
      </c>
      <c r="E393">
        <v>1486358.86</v>
      </c>
      <c r="F393">
        <f t="shared" si="12"/>
        <v>12311.807709151999</v>
      </c>
      <c r="G393">
        <v>12311.81</v>
      </c>
      <c r="H393">
        <f t="shared" si="13"/>
        <v>-2.2908480004844023E-3</v>
      </c>
    </row>
    <row r="394" spans="1:8" x14ac:dyDescent="0.3">
      <c r="A394" t="str">
        <v>ZAAUTO2024-1-00391</v>
      </c>
      <c r="B394">
        <v>1</v>
      </c>
      <c r="C394">
        <v>1.4200000000000001E-2</v>
      </c>
      <c r="D394">
        <v>0.46100000000000002</v>
      </c>
      <c r="E394">
        <v>319574.26</v>
      </c>
      <c r="F394">
        <f t="shared" si="12"/>
        <v>2091.9970208120003</v>
      </c>
      <c r="G394">
        <v>2092</v>
      </c>
      <c r="H394">
        <f t="shared" si="13"/>
        <v>-2.9791879996992066E-3</v>
      </c>
    </row>
    <row r="395" spans="1:8" x14ac:dyDescent="0.3">
      <c r="A395" t="str">
        <v>ZAAUTO2024-1-00392</v>
      </c>
      <c r="B395">
        <v>2</v>
      </c>
      <c r="C395">
        <v>8.8800000000000004E-2</v>
      </c>
      <c r="D395">
        <v>0.46689999999999998</v>
      </c>
      <c r="E395">
        <v>1455421.78</v>
      </c>
      <c r="F395">
        <f t="shared" si="12"/>
        <v>60342.834902481598</v>
      </c>
      <c r="G395">
        <v>60342.83</v>
      </c>
      <c r="H395">
        <f t="shared" si="13"/>
        <v>4.9024815962184221E-3</v>
      </c>
    </row>
    <row r="396" spans="1:8" x14ac:dyDescent="0.3">
      <c r="A396" t="str">
        <v>ZAAUTO2024-1-00393</v>
      </c>
      <c r="B396">
        <v>1</v>
      </c>
      <c r="C396">
        <v>2.24E-2</v>
      </c>
      <c r="D396">
        <v>0.60580000000000001</v>
      </c>
      <c r="E396">
        <v>395672.39</v>
      </c>
      <c r="F396">
        <f t="shared" si="12"/>
        <v>5369.2426785088001</v>
      </c>
      <c r="G396">
        <v>5369.24</v>
      </c>
      <c r="H396">
        <f t="shared" si="13"/>
        <v>2.6785088002725388E-3</v>
      </c>
    </row>
    <row r="397" spans="1:8" x14ac:dyDescent="0.3">
      <c r="A397" t="str">
        <v>ZAAUTO2024-1-00394</v>
      </c>
      <c r="B397">
        <v>1</v>
      </c>
      <c r="C397">
        <v>2.1499999999999998E-2</v>
      </c>
      <c r="D397">
        <v>0.54390000000000005</v>
      </c>
      <c r="E397">
        <v>485211.75</v>
      </c>
      <c r="F397">
        <f t="shared" si="12"/>
        <v>5673.9934227375006</v>
      </c>
      <c r="G397">
        <v>5673.99</v>
      </c>
      <c r="H397">
        <f t="shared" si="13"/>
        <v>3.4227375008413219E-3</v>
      </c>
    </row>
    <row r="398" spans="1:8" x14ac:dyDescent="0.3">
      <c r="A398" t="str">
        <v>ZAAUTO2024-1-00395</v>
      </c>
      <c r="B398">
        <v>1</v>
      </c>
      <c r="C398">
        <v>2.06E-2</v>
      </c>
      <c r="D398">
        <v>0.37680000000000002</v>
      </c>
      <c r="E398">
        <v>1010821.32</v>
      </c>
      <c r="F398">
        <f t="shared" si="12"/>
        <v>7846.0759515456002</v>
      </c>
      <c r="G398">
        <v>7846.08</v>
      </c>
      <c r="H398">
        <f t="shared" si="13"/>
        <v>-4.0484543997081346E-3</v>
      </c>
    </row>
    <row r="399" spans="1:8" x14ac:dyDescent="0.3">
      <c r="A399" t="str">
        <v>ZAAUTO2024-1-00396</v>
      </c>
      <c r="B399">
        <v>1</v>
      </c>
      <c r="C399">
        <v>2.01E-2</v>
      </c>
      <c r="D399">
        <v>0.59870000000000001</v>
      </c>
      <c r="E399">
        <v>326573.11</v>
      </c>
      <c r="F399">
        <f t="shared" si="12"/>
        <v>3929.9383512356999</v>
      </c>
      <c r="G399">
        <v>3929.94</v>
      </c>
      <c r="H399">
        <f t="shared" si="13"/>
        <v>-1.6487643001710239E-3</v>
      </c>
    </row>
    <row r="400" spans="1:8" x14ac:dyDescent="0.3">
      <c r="A400" t="str">
        <v>ZAAUTO2024-1-00397</v>
      </c>
      <c r="B400">
        <v>1</v>
      </c>
      <c r="C400">
        <v>2.4E-2</v>
      </c>
      <c r="D400">
        <v>0.55230000000000001</v>
      </c>
      <c r="E400">
        <v>653354.78</v>
      </c>
      <c r="F400">
        <f t="shared" si="12"/>
        <v>8660.3482798559999</v>
      </c>
      <c r="G400">
        <v>8660.35</v>
      </c>
      <c r="H400">
        <f t="shared" si="13"/>
        <v>-1.7201440005010227E-3</v>
      </c>
    </row>
    <row r="401" spans="1:8" x14ac:dyDescent="0.3">
      <c r="A401" t="str">
        <v>ZAAUTO2024-1-00398</v>
      </c>
      <c r="B401">
        <v>1</v>
      </c>
      <c r="C401">
        <v>1.9300000000000001E-2</v>
      </c>
      <c r="D401">
        <v>0.56859999999999999</v>
      </c>
      <c r="E401">
        <v>480855.4</v>
      </c>
      <c r="F401">
        <f t="shared" si="12"/>
        <v>5276.8975424920009</v>
      </c>
      <c r="G401">
        <v>5276.9</v>
      </c>
      <c r="H401">
        <f t="shared" si="13"/>
        <v>-2.45750799876987E-3</v>
      </c>
    </row>
    <row r="402" spans="1:8" x14ac:dyDescent="0.3">
      <c r="A402" t="str">
        <v>ZAAUTO2024-1-00399</v>
      </c>
      <c r="B402">
        <v>1</v>
      </c>
      <c r="C402">
        <v>2.24E-2</v>
      </c>
      <c r="D402">
        <v>0.49390000000000001</v>
      </c>
      <c r="E402">
        <v>159783.95000000001</v>
      </c>
      <c r="F402">
        <f t="shared" si="12"/>
        <v>1767.7473610720001</v>
      </c>
      <c r="G402">
        <v>1767.75</v>
      </c>
      <c r="H402">
        <f t="shared" si="13"/>
        <v>-2.6389279998966231E-3</v>
      </c>
    </row>
    <row r="403" spans="1:8" x14ac:dyDescent="0.3">
      <c r="A403" t="str">
        <v>ZAAUTO2024-1-00400</v>
      </c>
      <c r="B403">
        <v>3</v>
      </c>
      <c r="C403">
        <v>0.87270000000000003</v>
      </c>
      <c r="D403">
        <v>0.46200000000000002</v>
      </c>
      <c r="E403">
        <v>1130434.1599999999</v>
      </c>
      <c r="F403">
        <f t="shared" si="12"/>
        <v>455776.80984158401</v>
      </c>
      <c r="G403">
        <v>455776.81</v>
      </c>
      <c r="H403">
        <f t="shared" si="13"/>
        <v>-1.5841599088162184E-4</v>
      </c>
    </row>
    <row r="404" spans="1:8" x14ac:dyDescent="0.3">
      <c r="A404" t="str">
        <v>ZAAUTO2024-1-00401</v>
      </c>
      <c r="B404">
        <v>2</v>
      </c>
      <c r="C404">
        <v>8.9899999999999994E-2</v>
      </c>
      <c r="D404">
        <v>0.47570000000000001</v>
      </c>
      <c r="E404">
        <v>1658246.55</v>
      </c>
      <c r="F404">
        <f t="shared" si="12"/>
        <v>70915.626756766505</v>
      </c>
      <c r="G404">
        <v>70915.63</v>
      </c>
      <c r="H404">
        <f t="shared" si="13"/>
        <v>-3.2432334992336109E-3</v>
      </c>
    </row>
    <row r="405" spans="1:8" x14ac:dyDescent="0.3">
      <c r="A405" t="str">
        <v>ZAAUTO2024-1-00402</v>
      </c>
      <c r="B405">
        <v>1</v>
      </c>
      <c r="C405">
        <v>1.5699999999999999E-2</v>
      </c>
      <c r="D405">
        <v>0.37169999999999997</v>
      </c>
      <c r="E405">
        <v>1496130.42</v>
      </c>
      <c r="F405">
        <f t="shared" si="12"/>
        <v>8730.9533306897993</v>
      </c>
      <c r="G405">
        <v>8730.9500000000007</v>
      </c>
      <c r="H405">
        <f t="shared" si="13"/>
        <v>3.3306897985312389E-3</v>
      </c>
    </row>
    <row r="406" spans="1:8" x14ac:dyDescent="0.3">
      <c r="A406" t="str">
        <v>ZAAUTO2024-1-00403</v>
      </c>
      <c r="B406">
        <v>1</v>
      </c>
      <c r="C406">
        <v>1.78E-2</v>
      </c>
      <c r="D406">
        <v>0.35930000000000001</v>
      </c>
      <c r="E406">
        <v>212621.46</v>
      </c>
      <c r="F406">
        <f t="shared" si="12"/>
        <v>1359.8290522883999</v>
      </c>
      <c r="G406">
        <v>1359.83</v>
      </c>
      <c r="H406">
        <f t="shared" si="13"/>
        <v>-9.4771160001982935E-4</v>
      </c>
    </row>
    <row r="407" spans="1:8" x14ac:dyDescent="0.3">
      <c r="A407" t="str">
        <v>ZAAUTO2024-1-00404</v>
      </c>
      <c r="B407">
        <v>1</v>
      </c>
      <c r="C407">
        <v>2.1100000000000001E-2</v>
      </c>
      <c r="D407">
        <v>0.55259999999999998</v>
      </c>
      <c r="E407">
        <v>608640.16</v>
      </c>
      <c r="F407">
        <f t="shared" si="12"/>
        <v>7096.6590559775996</v>
      </c>
      <c r="G407">
        <v>7096.66</v>
      </c>
      <c r="H407">
        <f t="shared" si="13"/>
        <v>-9.4402240029012319E-4</v>
      </c>
    </row>
    <row r="408" spans="1:8" x14ac:dyDescent="0.3">
      <c r="A408" t="str">
        <v>ZAAUTO2024-1-00405</v>
      </c>
      <c r="B408">
        <v>1</v>
      </c>
      <c r="C408">
        <v>1.67E-2</v>
      </c>
      <c r="D408">
        <v>0.60970000000000002</v>
      </c>
      <c r="E408">
        <v>900015.55</v>
      </c>
      <c r="F408">
        <f t="shared" si="12"/>
        <v>9163.9493299445003</v>
      </c>
      <c r="G408">
        <v>9163.9500000000007</v>
      </c>
      <c r="H408">
        <f t="shared" si="13"/>
        <v>-6.7005550044996198E-4</v>
      </c>
    </row>
    <row r="409" spans="1:8" x14ac:dyDescent="0.3">
      <c r="A409" t="str">
        <v>ZAAUTO2024-1-00406</v>
      </c>
      <c r="B409">
        <v>1</v>
      </c>
      <c r="C409">
        <v>1.55E-2</v>
      </c>
      <c r="D409">
        <v>0.39860000000000001</v>
      </c>
      <c r="E409">
        <v>394262.25</v>
      </c>
      <c r="F409">
        <f t="shared" si="12"/>
        <v>2435.8704591750002</v>
      </c>
      <c r="G409">
        <v>2435.87</v>
      </c>
      <c r="H409">
        <f t="shared" si="13"/>
        <v>4.5917500028735958E-4</v>
      </c>
    </row>
    <row r="410" spans="1:8" x14ac:dyDescent="0.3">
      <c r="A410" t="str">
        <v>ZAAUTO2024-1-00407</v>
      </c>
      <c r="B410">
        <v>1</v>
      </c>
      <c r="C410">
        <v>1.9699999999999999E-2</v>
      </c>
      <c r="D410">
        <v>0.41420000000000001</v>
      </c>
      <c r="E410">
        <v>497597.15</v>
      </c>
      <c r="F410">
        <f t="shared" si="12"/>
        <v>4060.2633687410002</v>
      </c>
      <c r="G410">
        <v>4060.26</v>
      </c>
      <c r="H410">
        <f t="shared" si="13"/>
        <v>3.3687410000311502E-3</v>
      </c>
    </row>
    <row r="411" spans="1:8" x14ac:dyDescent="0.3">
      <c r="A411" t="str">
        <v>ZAAUTO2024-1-00408</v>
      </c>
      <c r="B411">
        <v>1</v>
      </c>
      <c r="C411">
        <v>1.9800000000000002E-2</v>
      </c>
      <c r="D411">
        <v>0.63480000000000003</v>
      </c>
      <c r="E411">
        <v>279137.19</v>
      </c>
      <c r="F411">
        <f t="shared" si="12"/>
        <v>3508.4865065976005</v>
      </c>
      <c r="G411">
        <v>3508.49</v>
      </c>
      <c r="H411">
        <f t="shared" si="13"/>
        <v>-3.4934023992718721E-3</v>
      </c>
    </row>
    <row r="412" spans="1:8" x14ac:dyDescent="0.3">
      <c r="A412" t="str">
        <v>ZAAUTO2024-1-00409</v>
      </c>
      <c r="B412">
        <v>2</v>
      </c>
      <c r="C412">
        <v>0.12239999999999999</v>
      </c>
      <c r="D412">
        <v>0.53490000000000004</v>
      </c>
      <c r="E412">
        <v>233936.23</v>
      </c>
      <c r="F412">
        <f t="shared" si="12"/>
        <v>15316.216705864801</v>
      </c>
      <c r="G412">
        <v>15316.22</v>
      </c>
      <c r="H412">
        <f t="shared" si="13"/>
        <v>-3.2941351983026834E-3</v>
      </c>
    </row>
    <row r="413" spans="1:8" x14ac:dyDescent="0.3">
      <c r="A413" t="str">
        <v>ZAAUTO2024-1-00410</v>
      </c>
      <c r="B413">
        <v>1</v>
      </c>
      <c r="C413">
        <v>2.1700000000000001E-2</v>
      </c>
      <c r="D413">
        <v>0.41170000000000001</v>
      </c>
      <c r="E413">
        <v>648320.18999999994</v>
      </c>
      <c r="F413">
        <f t="shared" si="12"/>
        <v>5792.0212622390991</v>
      </c>
      <c r="G413">
        <v>5792.02</v>
      </c>
      <c r="H413">
        <f t="shared" si="13"/>
        <v>1.2622390986507526E-3</v>
      </c>
    </row>
    <row r="414" spans="1:8" x14ac:dyDescent="0.3">
      <c r="A414" t="str">
        <v>ZAAUTO2024-1-00411</v>
      </c>
      <c r="B414">
        <v>1</v>
      </c>
      <c r="C414">
        <v>1.78E-2</v>
      </c>
      <c r="D414">
        <v>0.39190000000000003</v>
      </c>
      <c r="E414">
        <v>731612.18</v>
      </c>
      <c r="F414">
        <f t="shared" si="12"/>
        <v>5103.5948774876006</v>
      </c>
      <c r="G414">
        <v>5103.59</v>
      </c>
      <c r="H414">
        <f t="shared" si="13"/>
        <v>4.8774876004245016E-3</v>
      </c>
    </row>
    <row r="415" spans="1:8" x14ac:dyDescent="0.3">
      <c r="A415" t="str">
        <v>ZAAUTO2024-1-00412</v>
      </c>
      <c r="B415">
        <v>2</v>
      </c>
      <c r="C415">
        <v>0.1527</v>
      </c>
      <c r="D415">
        <v>0.37740000000000001</v>
      </c>
      <c r="E415">
        <v>640368.09</v>
      </c>
      <c r="F415">
        <f t="shared" si="12"/>
        <v>36903.7598512482</v>
      </c>
      <c r="G415">
        <v>36903.760000000002</v>
      </c>
      <c r="H415">
        <f t="shared" si="13"/>
        <v>-1.487518020439893E-4</v>
      </c>
    </row>
    <row r="416" spans="1:8" x14ac:dyDescent="0.3">
      <c r="A416" t="str">
        <v>ZAAUTO2024-1-00413</v>
      </c>
      <c r="B416">
        <v>1</v>
      </c>
      <c r="C416">
        <v>1.6500000000000001E-2</v>
      </c>
      <c r="D416">
        <v>0.55200000000000005</v>
      </c>
      <c r="E416">
        <v>176653.41</v>
      </c>
      <c r="F416">
        <f t="shared" si="12"/>
        <v>1608.9592582800003</v>
      </c>
      <c r="G416">
        <v>1608.96</v>
      </c>
      <c r="H416">
        <f t="shared" si="13"/>
        <v>-7.4171999972350022E-4</v>
      </c>
    </row>
    <row r="417" spans="1:8" x14ac:dyDescent="0.3">
      <c r="A417" t="str">
        <v>ZAAUTO2024-1-00414</v>
      </c>
      <c r="B417">
        <v>1</v>
      </c>
      <c r="C417">
        <v>1.9900000000000001E-2</v>
      </c>
      <c r="D417">
        <v>0.56730000000000003</v>
      </c>
      <c r="E417">
        <v>672253.33</v>
      </c>
      <c r="F417">
        <f t="shared" si="12"/>
        <v>7589.2493507690997</v>
      </c>
      <c r="G417">
        <v>7589.25</v>
      </c>
      <c r="H417">
        <f t="shared" si="13"/>
        <v>-6.4923090030788444E-4</v>
      </c>
    </row>
    <row r="418" spans="1:8" x14ac:dyDescent="0.3">
      <c r="A418" t="str">
        <v>ZAAUTO2024-1-00415</v>
      </c>
      <c r="B418">
        <v>1</v>
      </c>
      <c r="C418">
        <v>1.89E-2</v>
      </c>
      <c r="D418">
        <v>0.4</v>
      </c>
      <c r="E418">
        <v>45679.92</v>
      </c>
      <c r="F418">
        <f t="shared" si="12"/>
        <v>345.34019520000004</v>
      </c>
      <c r="G418">
        <v>345.34</v>
      </c>
      <c r="H418">
        <f t="shared" si="13"/>
        <v>1.9520000006423288E-4</v>
      </c>
    </row>
    <row r="419" spans="1:8" x14ac:dyDescent="0.3">
      <c r="A419" t="str">
        <v>ZAAUTO2024-1-00416</v>
      </c>
      <c r="B419">
        <v>2</v>
      </c>
      <c r="C419">
        <v>9.6000000000000002E-2</v>
      </c>
      <c r="D419">
        <v>0.49070000000000003</v>
      </c>
      <c r="E419">
        <v>586730.81000000006</v>
      </c>
      <c r="F419">
        <f t="shared" si="12"/>
        <v>27639.245612832005</v>
      </c>
      <c r="G419">
        <v>27639.25</v>
      </c>
      <c r="H419">
        <f t="shared" si="13"/>
        <v>-4.3871679954463616E-3</v>
      </c>
    </row>
    <row r="420" spans="1:8" x14ac:dyDescent="0.3">
      <c r="A420" t="str">
        <v>ZAAUTO2024-1-00417</v>
      </c>
      <c r="B420">
        <v>3</v>
      </c>
      <c r="C420">
        <v>0.70050000000000001</v>
      </c>
      <c r="D420">
        <v>0.52990000000000004</v>
      </c>
      <c r="E420">
        <v>459826.15</v>
      </c>
      <c r="F420">
        <f t="shared" si="12"/>
        <v>170685.14475794253</v>
      </c>
      <c r="G420">
        <v>170685.14</v>
      </c>
      <c r="H420">
        <f t="shared" si="13"/>
        <v>4.757942515425384E-3</v>
      </c>
    </row>
    <row r="421" spans="1:8" x14ac:dyDescent="0.3">
      <c r="A421" t="str">
        <v>ZAAUTO2024-1-00418</v>
      </c>
      <c r="B421">
        <v>1</v>
      </c>
      <c r="C421">
        <v>2.5399999999999999E-2</v>
      </c>
      <c r="D421">
        <v>0.61909999999999998</v>
      </c>
      <c r="E421">
        <v>515225.59999999998</v>
      </c>
      <c r="F421">
        <f t="shared" si="12"/>
        <v>8101.9946915839992</v>
      </c>
      <c r="G421">
        <v>8101.99</v>
      </c>
      <c r="H421">
        <f t="shared" si="13"/>
        <v>4.6915839993744157E-3</v>
      </c>
    </row>
    <row r="422" spans="1:8" x14ac:dyDescent="0.3">
      <c r="A422" t="str">
        <v>ZAAUTO2024-1-00419</v>
      </c>
      <c r="B422">
        <v>1</v>
      </c>
      <c r="C422">
        <v>2.46E-2</v>
      </c>
      <c r="D422">
        <v>0.57750000000000001</v>
      </c>
      <c r="E422">
        <v>87619.95</v>
      </c>
      <c r="F422">
        <f t="shared" si="12"/>
        <v>1244.7728196749999</v>
      </c>
      <c r="G422">
        <v>1244.77</v>
      </c>
      <c r="H422">
        <f t="shared" si="13"/>
        <v>2.8196749999551685E-3</v>
      </c>
    </row>
    <row r="423" spans="1:8" x14ac:dyDescent="0.3">
      <c r="A423" t="str">
        <v>ZAAUTO2024-1-00420</v>
      </c>
      <c r="B423">
        <v>1</v>
      </c>
      <c r="C423">
        <v>1.4E-2</v>
      </c>
      <c r="D423">
        <v>0.36990000000000001</v>
      </c>
      <c r="E423">
        <v>668562.5</v>
      </c>
      <c r="F423">
        <f t="shared" si="12"/>
        <v>3462.2177624999999</v>
      </c>
      <c r="G423">
        <v>3462.22</v>
      </c>
      <c r="H423">
        <f t="shared" si="13"/>
        <v>-2.2374999998646672E-3</v>
      </c>
    </row>
    <row r="424" spans="1:8" x14ac:dyDescent="0.3">
      <c r="A424" t="str">
        <v>ZAAUTO2024-1-00421</v>
      </c>
      <c r="B424">
        <v>1</v>
      </c>
      <c r="C424">
        <v>0.02</v>
      </c>
      <c r="D424">
        <v>0.56730000000000003</v>
      </c>
      <c r="E424">
        <v>1854760.73</v>
      </c>
      <c r="F424">
        <f t="shared" si="12"/>
        <v>21044.115242579999</v>
      </c>
      <c r="G424">
        <v>21044.12</v>
      </c>
      <c r="H424">
        <f t="shared" si="13"/>
        <v>-4.7574199998052791E-3</v>
      </c>
    </row>
    <row r="425" spans="1:8" x14ac:dyDescent="0.3">
      <c r="A425" t="str">
        <v>ZAAUTO2024-1-00422</v>
      </c>
      <c r="B425">
        <v>1</v>
      </c>
      <c r="C425">
        <v>1.6799999999999999E-2</v>
      </c>
      <c r="D425">
        <v>0.61370000000000002</v>
      </c>
      <c r="E425">
        <v>411686.45</v>
      </c>
      <c r="F425">
        <f t="shared" si="12"/>
        <v>4244.5531693319999</v>
      </c>
      <c r="G425">
        <v>4244.55</v>
      </c>
      <c r="H425">
        <f t="shared" si="13"/>
        <v>3.1693319997430081E-3</v>
      </c>
    </row>
    <row r="426" spans="1:8" x14ac:dyDescent="0.3">
      <c r="A426" t="str">
        <v>ZAAUTO2024-1-00423</v>
      </c>
      <c r="B426">
        <v>1</v>
      </c>
      <c r="C426">
        <v>2.47E-2</v>
      </c>
      <c r="D426">
        <v>0.44900000000000001</v>
      </c>
      <c r="E426">
        <v>1959753.16</v>
      </c>
      <c r="F426">
        <f t="shared" si="12"/>
        <v>21734.250470348001</v>
      </c>
      <c r="G426">
        <v>21734.25</v>
      </c>
      <c r="H426">
        <f t="shared" si="13"/>
        <v>4.7034800081746653E-4</v>
      </c>
    </row>
    <row r="427" spans="1:8" x14ac:dyDescent="0.3">
      <c r="A427" t="str">
        <v>ZAAUTO2024-1-00424</v>
      </c>
      <c r="B427">
        <v>1</v>
      </c>
      <c r="C427">
        <v>1.83E-2</v>
      </c>
      <c r="D427">
        <v>0.50270000000000004</v>
      </c>
      <c r="E427">
        <v>1378961.26</v>
      </c>
      <c r="F427">
        <f t="shared" si="12"/>
        <v>12685.630004856603</v>
      </c>
      <c r="G427">
        <v>12685.63</v>
      </c>
      <c r="H427">
        <f t="shared" si="13"/>
        <v>4.8566034820396453E-6</v>
      </c>
    </row>
    <row r="428" spans="1:8" x14ac:dyDescent="0.3">
      <c r="A428" t="str">
        <v>ZAAUTO2024-1-00425</v>
      </c>
      <c r="B428">
        <v>1</v>
      </c>
      <c r="C428">
        <v>1.6299999999999999E-2</v>
      </c>
      <c r="D428">
        <v>0.36980000000000002</v>
      </c>
      <c r="E428">
        <v>104387.46</v>
      </c>
      <c r="F428">
        <f t="shared" si="12"/>
        <v>629.22046814039993</v>
      </c>
      <c r="G428">
        <v>629.22</v>
      </c>
      <c r="H428">
        <f t="shared" si="13"/>
        <v>4.6814039990294987E-4</v>
      </c>
    </row>
    <row r="429" spans="1:8" x14ac:dyDescent="0.3">
      <c r="A429" t="str">
        <v>ZAAUTO2024-1-00426</v>
      </c>
      <c r="B429">
        <v>1</v>
      </c>
      <c r="C429">
        <v>2.2499999999999999E-2</v>
      </c>
      <c r="D429">
        <v>0.59009999999999996</v>
      </c>
      <c r="E429">
        <v>779242.32</v>
      </c>
      <c r="F429">
        <f t="shared" si="12"/>
        <v>10346.195093219998</v>
      </c>
      <c r="G429">
        <v>10346.200000000001</v>
      </c>
      <c r="H429">
        <f t="shared" si="13"/>
        <v>-4.9067800027842168E-3</v>
      </c>
    </row>
    <row r="430" spans="1:8" x14ac:dyDescent="0.3">
      <c r="A430" t="str">
        <v>ZAAUTO2024-1-00427</v>
      </c>
      <c r="B430">
        <v>3</v>
      </c>
      <c r="C430">
        <v>0.82410000000000005</v>
      </c>
      <c r="D430">
        <v>0.44009999999999999</v>
      </c>
      <c r="E430">
        <v>1507806.51</v>
      </c>
      <c r="F430">
        <f t="shared" si="12"/>
        <v>546860.93008652912</v>
      </c>
      <c r="G430">
        <v>546860.93000000005</v>
      </c>
      <c r="H430">
        <f t="shared" si="13"/>
        <v>8.6529063992202282E-5</v>
      </c>
    </row>
    <row r="431" spans="1:8" x14ac:dyDescent="0.3">
      <c r="A431" t="str">
        <v>ZAAUTO2024-1-00428</v>
      </c>
      <c r="B431">
        <v>1</v>
      </c>
      <c r="C431">
        <v>2.07E-2</v>
      </c>
      <c r="D431">
        <v>0.4486</v>
      </c>
      <c r="E431">
        <v>151652.24</v>
      </c>
      <c r="F431">
        <f t="shared" si="12"/>
        <v>1408.2457336847997</v>
      </c>
      <c r="G431">
        <v>1408.25</v>
      </c>
      <c r="H431">
        <f t="shared" si="13"/>
        <v>-4.2663152003115101E-3</v>
      </c>
    </row>
    <row r="432" spans="1:8" x14ac:dyDescent="0.3">
      <c r="A432" t="str">
        <v>ZAAUTO2024-1-00429</v>
      </c>
      <c r="B432">
        <v>1</v>
      </c>
      <c r="C432">
        <v>1.54E-2</v>
      </c>
      <c r="D432">
        <v>0.4854</v>
      </c>
      <c r="E432">
        <v>245149.25</v>
      </c>
      <c r="F432">
        <f t="shared" si="12"/>
        <v>1832.5298676299999</v>
      </c>
      <c r="G432">
        <v>1832.53</v>
      </c>
      <c r="H432">
        <f t="shared" si="13"/>
        <v>-1.3237000007393362E-4</v>
      </c>
    </row>
    <row r="433" spans="1:8" x14ac:dyDescent="0.3">
      <c r="A433" t="str">
        <v>ZAAUTO2024-1-00430</v>
      </c>
      <c r="B433">
        <v>3</v>
      </c>
      <c r="C433">
        <v>0.98950000000000005</v>
      </c>
      <c r="D433">
        <v>0.57430000000000003</v>
      </c>
      <c r="E433">
        <v>412345.98</v>
      </c>
      <c r="F433">
        <f t="shared" si="12"/>
        <v>234323.78820270303</v>
      </c>
      <c r="G433">
        <v>234323.79</v>
      </c>
      <c r="H433">
        <f t="shared" si="13"/>
        <v>-1.7972969799302518E-3</v>
      </c>
    </row>
    <row r="434" spans="1:8" x14ac:dyDescent="0.3">
      <c r="A434" t="str">
        <v>ZAAUTO2024-1-00431</v>
      </c>
      <c r="B434">
        <v>1</v>
      </c>
      <c r="C434">
        <v>1.54E-2</v>
      </c>
      <c r="D434">
        <v>0.59319999999999995</v>
      </c>
      <c r="E434">
        <v>776323.7</v>
      </c>
      <c r="F434">
        <f t="shared" si="12"/>
        <v>7091.9343701359985</v>
      </c>
      <c r="G434">
        <v>7091.93</v>
      </c>
      <c r="H434">
        <f t="shared" si="13"/>
        <v>4.3701359982151189E-3</v>
      </c>
    </row>
    <row r="435" spans="1:8" x14ac:dyDescent="0.3">
      <c r="A435" t="str">
        <v>ZAAUTO2024-1-00432</v>
      </c>
      <c r="B435">
        <v>3</v>
      </c>
      <c r="C435">
        <v>0.75729999999999997</v>
      </c>
      <c r="D435">
        <v>0.3871</v>
      </c>
      <c r="E435">
        <v>306947.44</v>
      </c>
      <c r="F435">
        <f t="shared" si="12"/>
        <v>89981.896802375195</v>
      </c>
      <c r="G435">
        <v>89981.9</v>
      </c>
      <c r="H435">
        <f t="shared" si="13"/>
        <v>-3.1976247992133722E-3</v>
      </c>
    </row>
    <row r="436" spans="1:8" x14ac:dyDescent="0.3">
      <c r="A436" t="str">
        <v>ZAAUTO2024-1-00433</v>
      </c>
      <c r="B436">
        <v>2</v>
      </c>
      <c r="C436">
        <v>0.1081</v>
      </c>
      <c r="D436">
        <v>0.40550000000000003</v>
      </c>
      <c r="E436">
        <v>0</v>
      </c>
      <c r="F436">
        <f t="shared" si="12"/>
        <v>0</v>
      </c>
      <c r="G436">
        <v>0</v>
      </c>
      <c r="H436">
        <f t="shared" si="13"/>
        <v>0</v>
      </c>
    </row>
    <row r="437" spans="1:8" x14ac:dyDescent="0.3">
      <c r="A437" t="str">
        <v>ZAAUTO2024-1-00434</v>
      </c>
      <c r="B437">
        <v>3</v>
      </c>
      <c r="C437">
        <v>0.80179999999999996</v>
      </c>
      <c r="D437">
        <v>0.4073</v>
      </c>
      <c r="E437">
        <v>1287060.25</v>
      </c>
      <c r="F437">
        <f t="shared" si="12"/>
        <v>420319.30721168499</v>
      </c>
      <c r="G437">
        <v>420319.31</v>
      </c>
      <c r="H437">
        <f t="shared" si="13"/>
        <v>-2.788315003272146E-3</v>
      </c>
    </row>
    <row r="438" spans="1:8" x14ac:dyDescent="0.3">
      <c r="A438" t="str">
        <v>ZAAUTO2024-1-00435</v>
      </c>
      <c r="B438">
        <v>1</v>
      </c>
      <c r="C438">
        <v>1.9300000000000001E-2</v>
      </c>
      <c r="D438">
        <v>0.41049999999999998</v>
      </c>
      <c r="E438">
        <v>59312.59</v>
      </c>
      <c r="F438">
        <f t="shared" si="12"/>
        <v>469.91289116349998</v>
      </c>
      <c r="G438">
        <v>469.91</v>
      </c>
      <c r="H438">
        <f t="shared" si="13"/>
        <v>2.8911634999531088E-3</v>
      </c>
    </row>
    <row r="439" spans="1:8" x14ac:dyDescent="0.3">
      <c r="A439" t="str">
        <v>ZAAUTO2024-1-00436</v>
      </c>
      <c r="B439">
        <v>1</v>
      </c>
      <c r="C439">
        <v>2.23E-2</v>
      </c>
      <c r="D439">
        <v>0.43269999999999997</v>
      </c>
      <c r="E439">
        <v>319454.63</v>
      </c>
      <c r="F439">
        <f t="shared" si="12"/>
        <v>3082.4848103423001</v>
      </c>
      <c r="G439">
        <v>3082.48</v>
      </c>
      <c r="H439">
        <f t="shared" si="13"/>
        <v>4.8103423000611656E-3</v>
      </c>
    </row>
    <row r="440" spans="1:8" x14ac:dyDescent="0.3">
      <c r="A440" t="str">
        <v>ZAAUTO2024-1-00437</v>
      </c>
      <c r="B440">
        <v>1</v>
      </c>
      <c r="C440">
        <v>2.1499999999999998E-2</v>
      </c>
      <c r="D440">
        <v>0.64319999999999999</v>
      </c>
      <c r="E440">
        <v>186187.15</v>
      </c>
      <c r="F440">
        <f t="shared" si="12"/>
        <v>2574.7448599199997</v>
      </c>
      <c r="G440">
        <v>2574.7399999999998</v>
      </c>
      <c r="H440">
        <f t="shared" si="13"/>
        <v>4.8599199999443954E-3</v>
      </c>
    </row>
    <row r="441" spans="1:8" x14ac:dyDescent="0.3">
      <c r="A441" t="str">
        <v>ZAAUTO2024-1-00438</v>
      </c>
      <c r="B441">
        <v>1</v>
      </c>
      <c r="C441">
        <v>2.23E-2</v>
      </c>
      <c r="D441">
        <v>0.38100000000000001</v>
      </c>
      <c r="E441">
        <v>533952.80000000005</v>
      </c>
      <c r="F441">
        <f t="shared" si="12"/>
        <v>4536.6231746400008</v>
      </c>
      <c r="G441">
        <v>4536.62</v>
      </c>
      <c r="H441">
        <f t="shared" si="13"/>
        <v>3.1746400009069475E-3</v>
      </c>
    </row>
    <row r="442" spans="1:8" x14ac:dyDescent="0.3">
      <c r="A442" t="str">
        <v>ZAAUTO2024-1-00439</v>
      </c>
      <c r="B442">
        <v>1</v>
      </c>
      <c r="C442">
        <v>1.4500000000000001E-2</v>
      </c>
      <c r="D442">
        <v>0.55669999999999997</v>
      </c>
      <c r="E442">
        <v>105102.34</v>
      </c>
      <c r="F442">
        <f t="shared" si="12"/>
        <v>848.40185383100004</v>
      </c>
      <c r="G442">
        <v>848.4</v>
      </c>
      <c r="H442">
        <f t="shared" si="13"/>
        <v>1.8538310000622005E-3</v>
      </c>
    </row>
    <row r="443" spans="1:8" x14ac:dyDescent="0.3">
      <c r="A443" t="str">
        <v>ZAAUTO2024-1-00440</v>
      </c>
      <c r="B443">
        <v>1</v>
      </c>
      <c r="C443">
        <v>2.1899999999999999E-2</v>
      </c>
      <c r="D443">
        <v>0.41770000000000002</v>
      </c>
      <c r="E443">
        <v>183754.66</v>
      </c>
      <c r="F443">
        <f t="shared" si="12"/>
        <v>1680.9196404558002</v>
      </c>
      <c r="G443">
        <v>1680.92</v>
      </c>
      <c r="H443">
        <f t="shared" si="13"/>
        <v>-3.5954419990957831E-4</v>
      </c>
    </row>
    <row r="444" spans="1:8" x14ac:dyDescent="0.3">
      <c r="A444" t="str">
        <v>ZAAUTO2024-1-00441</v>
      </c>
      <c r="B444">
        <v>1</v>
      </c>
      <c r="C444">
        <v>2.3900000000000001E-2</v>
      </c>
      <c r="D444">
        <v>0.52829999999999999</v>
      </c>
      <c r="E444">
        <v>501131.38</v>
      </c>
      <c r="F444">
        <f t="shared" si="12"/>
        <v>6327.4702224905996</v>
      </c>
      <c r="G444">
        <v>6327.47</v>
      </c>
      <c r="H444">
        <f t="shared" si="13"/>
        <v>2.2249059929890791E-4</v>
      </c>
    </row>
    <row r="445" spans="1:8" x14ac:dyDescent="0.3">
      <c r="A445" t="str">
        <v>ZAAUTO2024-1-00442</v>
      </c>
      <c r="B445">
        <v>1</v>
      </c>
      <c r="C445">
        <v>2.3599999999999999E-2</v>
      </c>
      <c r="D445">
        <v>0.42209999999999998</v>
      </c>
      <c r="E445">
        <v>222092.79</v>
      </c>
      <c r="F445">
        <f t="shared" si="12"/>
        <v>2212.3906531523999</v>
      </c>
      <c r="G445">
        <v>2212.39</v>
      </c>
      <c r="H445">
        <f t="shared" si="13"/>
        <v>6.5315239999108599E-4</v>
      </c>
    </row>
    <row r="446" spans="1:8" x14ac:dyDescent="0.3">
      <c r="A446" t="str">
        <v>ZAAUTO2024-1-00443</v>
      </c>
      <c r="B446">
        <v>1</v>
      </c>
      <c r="C446">
        <v>1.44E-2</v>
      </c>
      <c r="D446">
        <v>0.5796</v>
      </c>
      <c r="E446">
        <v>1565702.1</v>
      </c>
      <c r="F446">
        <f t="shared" si="12"/>
        <v>13067.725495103999</v>
      </c>
      <c r="G446">
        <v>13067.73</v>
      </c>
      <c r="H446">
        <f t="shared" si="13"/>
        <v>-4.5048960000713123E-3</v>
      </c>
    </row>
    <row r="447" spans="1:8" x14ac:dyDescent="0.3">
      <c r="A447" t="str">
        <v>ZAAUTO2024-1-00444</v>
      </c>
      <c r="B447">
        <v>1</v>
      </c>
      <c r="C447">
        <v>1.7399999999999999E-2</v>
      </c>
      <c r="D447">
        <v>0.50670000000000004</v>
      </c>
      <c r="E447">
        <v>1504577.39</v>
      </c>
      <c r="F447">
        <f t="shared" si="12"/>
        <v>13265.226925126199</v>
      </c>
      <c r="G447">
        <v>13265.23</v>
      </c>
      <c r="H447">
        <f t="shared" si="13"/>
        <v>-3.0748738008696819E-3</v>
      </c>
    </row>
    <row r="448" spans="1:8" x14ac:dyDescent="0.3">
      <c r="A448" t="str">
        <v>ZAAUTO2024-1-00445</v>
      </c>
      <c r="B448">
        <v>1</v>
      </c>
      <c r="C448">
        <v>1.84E-2</v>
      </c>
      <c r="D448">
        <v>0.59650000000000003</v>
      </c>
      <c r="E448">
        <v>393474.15</v>
      </c>
      <c r="F448">
        <f t="shared" si="12"/>
        <v>4318.6148807400004</v>
      </c>
      <c r="G448">
        <v>4318.6099999999997</v>
      </c>
      <c r="H448">
        <f t="shared" si="13"/>
        <v>4.8807400007717661E-3</v>
      </c>
    </row>
    <row r="449" spans="1:8" x14ac:dyDescent="0.3">
      <c r="A449" t="str">
        <v>ZAAUTO2024-1-00446</v>
      </c>
      <c r="B449">
        <v>2</v>
      </c>
      <c r="C449">
        <v>0.1234</v>
      </c>
      <c r="D449">
        <v>0.49209999999999998</v>
      </c>
      <c r="E449">
        <v>158156.81</v>
      </c>
      <c r="F449">
        <f t="shared" si="12"/>
        <v>9604.0944292034001</v>
      </c>
      <c r="G449">
        <v>9604.09</v>
      </c>
      <c r="H449">
        <f t="shared" si="13"/>
        <v>4.4292033999226987E-3</v>
      </c>
    </row>
    <row r="450" spans="1:8" x14ac:dyDescent="0.3">
      <c r="A450" t="str">
        <v>ZAAUTO2024-1-00447</v>
      </c>
      <c r="B450">
        <v>1</v>
      </c>
      <c r="C450">
        <v>1.95E-2</v>
      </c>
      <c r="D450">
        <v>0.36220000000000002</v>
      </c>
      <c r="E450">
        <v>237032</v>
      </c>
      <c r="F450">
        <f t="shared" si="12"/>
        <v>1674.1333128000001</v>
      </c>
      <c r="G450">
        <v>1674.13</v>
      </c>
      <c r="H450">
        <f t="shared" si="13"/>
        <v>3.3128000000033353E-3</v>
      </c>
    </row>
    <row r="451" spans="1:8" x14ac:dyDescent="0.3">
      <c r="A451" t="str">
        <v>ZAAUTO2024-1-00448</v>
      </c>
      <c r="B451">
        <v>1</v>
      </c>
      <c r="C451">
        <v>2.2700000000000001E-2</v>
      </c>
      <c r="D451">
        <v>0.39029999999999998</v>
      </c>
      <c r="E451">
        <v>433464.82</v>
      </c>
      <c r="F451">
        <f t="shared" si="12"/>
        <v>3840.4159468842004</v>
      </c>
      <c r="G451">
        <v>3840.42</v>
      </c>
      <c r="H451">
        <f t="shared" si="13"/>
        <v>-4.0531157997065748E-3</v>
      </c>
    </row>
    <row r="452" spans="1:8" x14ac:dyDescent="0.3">
      <c r="A452" t="str">
        <v>ZAAUTO2024-1-00449</v>
      </c>
      <c r="B452">
        <v>1</v>
      </c>
      <c r="C452">
        <v>2.1100000000000001E-2</v>
      </c>
      <c r="D452">
        <v>0.5393</v>
      </c>
      <c r="E452">
        <v>755729.29</v>
      </c>
      <c r="F452">
        <f t="shared" si="12"/>
        <v>8599.6174086467017</v>
      </c>
      <c r="G452">
        <v>8599.6200000000008</v>
      </c>
      <c r="H452">
        <f t="shared" si="13"/>
        <v>-2.5913532990671229E-3</v>
      </c>
    </row>
    <row r="453" spans="1:8" x14ac:dyDescent="0.3">
      <c r="A453" t="str">
        <v>ZAAUTO2024-1-00450</v>
      </c>
      <c r="B453">
        <v>1</v>
      </c>
      <c r="C453">
        <v>1.7999999999999999E-2</v>
      </c>
      <c r="D453">
        <v>0.54110000000000003</v>
      </c>
      <c r="E453">
        <v>315776.83</v>
      </c>
      <c r="F453">
        <f t="shared" ref="F453:F503" si="14">MAX(0, C453*D453*E453)</f>
        <v>3075.6031688339999</v>
      </c>
      <c r="G453">
        <v>3075.6</v>
      </c>
      <c r="H453">
        <f t="shared" ref="H453:H503" si="15">F453-G453</f>
        <v>3.1688340000073367E-3</v>
      </c>
    </row>
    <row r="454" spans="1:8" x14ac:dyDescent="0.3">
      <c r="A454" t="str">
        <v>ZAAUTO2024-1-00451</v>
      </c>
      <c r="B454">
        <v>1</v>
      </c>
      <c r="C454">
        <v>2.1299999999999999E-2</v>
      </c>
      <c r="D454">
        <v>0.50180000000000002</v>
      </c>
      <c r="E454">
        <v>689585.73</v>
      </c>
      <c r="F454">
        <f t="shared" si="14"/>
        <v>7370.5267413882002</v>
      </c>
      <c r="G454">
        <v>7370.53</v>
      </c>
      <c r="H454">
        <f t="shared" si="15"/>
        <v>-3.2586117995379027E-3</v>
      </c>
    </row>
    <row r="455" spans="1:8" x14ac:dyDescent="0.3">
      <c r="A455" t="str">
        <v>ZAAUTO2024-1-00452</v>
      </c>
      <c r="B455">
        <v>2</v>
      </c>
      <c r="C455">
        <v>9.5100000000000004E-2</v>
      </c>
      <c r="D455">
        <v>0.48670000000000002</v>
      </c>
      <c r="E455">
        <v>518587.28</v>
      </c>
      <c r="F455">
        <f t="shared" si="14"/>
        <v>24002.900414637606</v>
      </c>
      <c r="G455">
        <v>24002.9</v>
      </c>
      <c r="H455">
        <f t="shared" si="15"/>
        <v>4.1463760499027558E-4</v>
      </c>
    </row>
    <row r="456" spans="1:8" x14ac:dyDescent="0.3">
      <c r="A456" t="str">
        <v>ZAAUTO2024-1-00453</v>
      </c>
      <c r="B456">
        <v>1</v>
      </c>
      <c r="C456">
        <v>1.89E-2</v>
      </c>
      <c r="D456">
        <v>0.41360000000000002</v>
      </c>
      <c r="E456">
        <v>545157.52</v>
      </c>
      <c r="F456">
        <f t="shared" si="14"/>
        <v>4261.5181401408008</v>
      </c>
      <c r="G456">
        <v>4261.5200000000004</v>
      </c>
      <c r="H456">
        <f t="shared" si="15"/>
        <v>-1.8598591996124014E-3</v>
      </c>
    </row>
    <row r="457" spans="1:8" x14ac:dyDescent="0.3">
      <c r="A457" t="str">
        <v>ZAAUTO2024-1-00454</v>
      </c>
      <c r="B457">
        <v>1</v>
      </c>
      <c r="C457">
        <v>1.5100000000000001E-2</v>
      </c>
      <c r="D457">
        <v>0.50670000000000004</v>
      </c>
      <c r="E457">
        <v>207671.29</v>
      </c>
      <c r="F457">
        <f t="shared" si="14"/>
        <v>1588.9283439093001</v>
      </c>
      <c r="G457">
        <v>1588.93</v>
      </c>
      <c r="H457">
        <f t="shared" si="15"/>
        <v>-1.6560906999529834E-3</v>
      </c>
    </row>
    <row r="458" spans="1:8" x14ac:dyDescent="0.3">
      <c r="A458" t="str">
        <v>ZAAUTO2024-1-00455</v>
      </c>
      <c r="B458">
        <v>1</v>
      </c>
      <c r="C458">
        <v>2.1700000000000001E-2</v>
      </c>
      <c r="D458">
        <v>0.4022</v>
      </c>
      <c r="E458">
        <v>1374919.29</v>
      </c>
      <c r="F458">
        <f t="shared" si="14"/>
        <v>11999.9380841046</v>
      </c>
      <c r="G458">
        <v>11999.94</v>
      </c>
      <c r="H458">
        <f t="shared" si="15"/>
        <v>-1.9158954000886297E-3</v>
      </c>
    </row>
    <row r="459" spans="1:8" x14ac:dyDescent="0.3">
      <c r="A459" t="str">
        <v>ZAAUTO2024-1-00456</v>
      </c>
      <c r="B459">
        <v>1</v>
      </c>
      <c r="C459">
        <v>1.9199999999999998E-2</v>
      </c>
      <c r="D459">
        <v>0.42980000000000002</v>
      </c>
      <c r="E459">
        <v>809209.5</v>
      </c>
      <c r="F459">
        <f t="shared" si="14"/>
        <v>6677.72626752</v>
      </c>
      <c r="G459">
        <v>6677.73</v>
      </c>
      <c r="H459">
        <f t="shared" si="15"/>
        <v>-3.7324799995985813E-3</v>
      </c>
    </row>
    <row r="460" spans="1:8" x14ac:dyDescent="0.3">
      <c r="A460" t="str">
        <v>ZAAUTO2024-1-00457</v>
      </c>
      <c r="B460">
        <v>1</v>
      </c>
      <c r="C460">
        <v>2.3E-2</v>
      </c>
      <c r="D460">
        <v>0.3503</v>
      </c>
      <c r="E460">
        <v>1251465.08</v>
      </c>
      <c r="F460">
        <f t="shared" si="14"/>
        <v>10082.929003052001</v>
      </c>
      <c r="G460">
        <v>10082.93</v>
      </c>
      <c r="H460">
        <f t="shared" si="15"/>
        <v>-9.9694799973804038E-4</v>
      </c>
    </row>
    <row r="461" spans="1:8" x14ac:dyDescent="0.3">
      <c r="A461" t="str">
        <v>ZAAUTO2024-1-00458</v>
      </c>
      <c r="B461">
        <v>1</v>
      </c>
      <c r="C461">
        <v>1.46E-2</v>
      </c>
      <c r="D461">
        <v>0.46050000000000002</v>
      </c>
      <c r="E461">
        <v>336272.88</v>
      </c>
      <c r="F461">
        <f t="shared" si="14"/>
        <v>2260.8634541040001</v>
      </c>
      <c r="G461">
        <v>2260.86</v>
      </c>
      <c r="H461">
        <f t="shared" si="15"/>
        <v>3.4541039999567147E-3</v>
      </c>
    </row>
    <row r="462" spans="1:8" x14ac:dyDescent="0.3">
      <c r="A462" t="str">
        <v>ZAAUTO2024-1-00459</v>
      </c>
      <c r="B462">
        <v>1</v>
      </c>
      <c r="C462">
        <v>1.6400000000000001E-2</v>
      </c>
      <c r="D462">
        <v>0.41959999999999997</v>
      </c>
      <c r="E462">
        <v>676809.36</v>
      </c>
      <c r="F462">
        <f t="shared" si="14"/>
        <v>4657.4230022783995</v>
      </c>
      <c r="G462">
        <v>4657.42</v>
      </c>
      <c r="H462">
        <f t="shared" si="15"/>
        <v>3.002278399435454E-3</v>
      </c>
    </row>
    <row r="463" spans="1:8" x14ac:dyDescent="0.3">
      <c r="A463" t="str">
        <v>ZAAUTO2024-1-00460</v>
      </c>
      <c r="B463">
        <v>3</v>
      </c>
      <c r="C463">
        <v>0.75160000000000005</v>
      </c>
      <c r="D463">
        <v>0.52780000000000005</v>
      </c>
      <c r="E463">
        <v>295513.26</v>
      </c>
      <c r="F463">
        <f t="shared" si="14"/>
        <v>117228.47900880482</v>
      </c>
      <c r="G463">
        <v>117228.48</v>
      </c>
      <c r="H463">
        <f t="shared" si="15"/>
        <v>-9.9119517835788429E-4</v>
      </c>
    </row>
    <row r="464" spans="1:8" x14ac:dyDescent="0.3">
      <c r="A464" t="str">
        <v>ZAAUTO2024-1-00461</v>
      </c>
      <c r="B464">
        <v>2</v>
      </c>
      <c r="C464">
        <v>9.64E-2</v>
      </c>
      <c r="D464">
        <v>0.51380000000000003</v>
      </c>
      <c r="E464">
        <v>104337.7</v>
      </c>
      <c r="F464">
        <f t="shared" si="14"/>
        <v>5167.8796690640002</v>
      </c>
      <c r="G464">
        <v>5167.88</v>
      </c>
      <c r="H464">
        <f t="shared" si="15"/>
        <v>-3.3093599995481782E-4</v>
      </c>
    </row>
    <row r="465" spans="1:8" x14ac:dyDescent="0.3">
      <c r="A465" t="str">
        <v>ZAAUTO2024-1-00462</v>
      </c>
      <c r="B465">
        <v>1</v>
      </c>
      <c r="C465">
        <v>2.4299999999999999E-2</v>
      </c>
      <c r="D465">
        <v>0.35460000000000003</v>
      </c>
      <c r="E465">
        <v>370415.13</v>
      </c>
      <c r="F465">
        <f t="shared" si="14"/>
        <v>3191.7856838814005</v>
      </c>
      <c r="G465">
        <v>3191.79</v>
      </c>
      <c r="H465">
        <f t="shared" si="15"/>
        <v>-4.3161185994904372E-3</v>
      </c>
    </row>
    <row r="466" spans="1:8" x14ac:dyDescent="0.3">
      <c r="A466" t="str">
        <v>ZAAUTO2024-1-00463</v>
      </c>
      <c r="B466">
        <v>1</v>
      </c>
      <c r="C466">
        <v>1.9199999999999998E-2</v>
      </c>
      <c r="D466">
        <v>0.53269999999999995</v>
      </c>
      <c r="E466">
        <v>282608.65999999997</v>
      </c>
      <c r="F466">
        <f t="shared" si="14"/>
        <v>2890.4761570943992</v>
      </c>
      <c r="G466">
        <v>2890.48</v>
      </c>
      <c r="H466">
        <f t="shared" si="15"/>
        <v>-3.8429056007771578E-3</v>
      </c>
    </row>
    <row r="467" spans="1:8" x14ac:dyDescent="0.3">
      <c r="A467" t="str">
        <v>ZAAUTO2024-1-00464</v>
      </c>
      <c r="B467">
        <v>1</v>
      </c>
      <c r="C467">
        <v>2.5100000000000001E-2</v>
      </c>
      <c r="D467">
        <v>0.42059999999999997</v>
      </c>
      <c r="E467">
        <v>275116.84000000003</v>
      </c>
      <c r="F467">
        <f t="shared" si="14"/>
        <v>2904.4249868904003</v>
      </c>
      <c r="G467">
        <v>2904.42</v>
      </c>
      <c r="H467">
        <f t="shared" si="15"/>
        <v>4.9868904002323688E-3</v>
      </c>
    </row>
    <row r="468" spans="1:8" x14ac:dyDescent="0.3">
      <c r="A468" t="str">
        <v>ZAAUTO2024-1-00465</v>
      </c>
      <c r="B468">
        <v>1</v>
      </c>
      <c r="C468">
        <v>2.35E-2</v>
      </c>
      <c r="D468">
        <v>0.50960000000000005</v>
      </c>
      <c r="E468">
        <v>696071.14</v>
      </c>
      <c r="F468">
        <f t="shared" si="14"/>
        <v>8335.8695441840009</v>
      </c>
      <c r="G468">
        <v>8335.8700000000008</v>
      </c>
      <c r="H468">
        <f t="shared" si="15"/>
        <v>-4.558159998850897E-4</v>
      </c>
    </row>
    <row r="469" spans="1:8" x14ac:dyDescent="0.3">
      <c r="A469" t="str">
        <v>ZAAUTO2024-1-00466</v>
      </c>
      <c r="B469">
        <v>1</v>
      </c>
      <c r="C469">
        <v>1.6199999999999999E-2</v>
      </c>
      <c r="D469">
        <v>0.42399999999999999</v>
      </c>
      <c r="E469">
        <v>757171.78</v>
      </c>
      <c r="F469">
        <f t="shared" si="14"/>
        <v>5200.8615224639998</v>
      </c>
      <c r="G469">
        <v>5200.8599999999997</v>
      </c>
      <c r="H469">
        <f t="shared" si="15"/>
        <v>1.5224640001179068E-3</v>
      </c>
    </row>
    <row r="470" spans="1:8" x14ac:dyDescent="0.3">
      <c r="A470" t="str">
        <v>ZAAUTO2024-1-00467</v>
      </c>
      <c r="B470">
        <v>3</v>
      </c>
      <c r="C470">
        <v>0.88060000000000005</v>
      </c>
      <c r="D470">
        <v>0.46739999999999998</v>
      </c>
      <c r="E470">
        <v>475726.58</v>
      </c>
      <c r="F470">
        <f t="shared" si="14"/>
        <v>195805.46383505521</v>
      </c>
      <c r="G470">
        <v>195805.46</v>
      </c>
      <c r="H470">
        <f t="shared" si="15"/>
        <v>3.8350552204065025E-3</v>
      </c>
    </row>
    <row r="471" spans="1:8" x14ac:dyDescent="0.3">
      <c r="A471" t="str">
        <v>ZAAUTO2024-1-00468</v>
      </c>
      <c r="B471">
        <v>1</v>
      </c>
      <c r="C471">
        <v>1.6500000000000001E-2</v>
      </c>
      <c r="D471">
        <v>0.44230000000000003</v>
      </c>
      <c r="E471">
        <v>1900693.52</v>
      </c>
      <c r="F471">
        <f t="shared" si="14"/>
        <v>13871.166274284002</v>
      </c>
      <c r="G471">
        <v>13871.17</v>
      </c>
      <c r="H471">
        <f t="shared" si="15"/>
        <v>-3.7257159983710153E-3</v>
      </c>
    </row>
    <row r="472" spans="1:8" x14ac:dyDescent="0.3">
      <c r="A472" t="str">
        <v>ZAAUTO2024-1-00469</v>
      </c>
      <c r="B472">
        <v>1</v>
      </c>
      <c r="C472">
        <v>2.07E-2</v>
      </c>
      <c r="D472">
        <v>0.53149999999999997</v>
      </c>
      <c r="E472">
        <v>1079072.58</v>
      </c>
      <c r="F472">
        <f t="shared" si="14"/>
        <v>11872.010478789</v>
      </c>
      <c r="G472">
        <v>11872.01</v>
      </c>
      <c r="H472">
        <f t="shared" si="15"/>
        <v>4.7878899931674823E-4</v>
      </c>
    </row>
    <row r="473" spans="1:8" x14ac:dyDescent="0.3">
      <c r="A473" t="str">
        <v>ZAAUTO2024-1-00470</v>
      </c>
      <c r="B473">
        <v>1</v>
      </c>
      <c r="C473">
        <v>2.0500000000000001E-2</v>
      </c>
      <c r="D473">
        <v>0.45190000000000002</v>
      </c>
      <c r="E473">
        <v>1580827.05</v>
      </c>
      <c r="F473">
        <f t="shared" si="14"/>
        <v>14644.702749847504</v>
      </c>
      <c r="G473">
        <v>14644.7</v>
      </c>
      <c r="H473">
        <f t="shared" si="15"/>
        <v>2.7498475028551184E-3</v>
      </c>
    </row>
    <row r="474" spans="1:8" x14ac:dyDescent="0.3">
      <c r="A474" t="str">
        <v>ZAAUTO2024-1-00471</v>
      </c>
      <c r="B474">
        <v>1</v>
      </c>
      <c r="C474">
        <v>1.6500000000000001E-2</v>
      </c>
      <c r="D474">
        <v>0.44719999999999999</v>
      </c>
      <c r="E474">
        <v>318641.34000000003</v>
      </c>
      <c r="F474">
        <f t="shared" si="14"/>
        <v>2351.1907195920003</v>
      </c>
      <c r="G474">
        <v>2351.19</v>
      </c>
      <c r="H474">
        <f t="shared" si="15"/>
        <v>7.1959200022320147E-4</v>
      </c>
    </row>
    <row r="475" spans="1:8" x14ac:dyDescent="0.3">
      <c r="A475" t="str">
        <v>ZAAUTO2024-1-00472</v>
      </c>
      <c r="B475">
        <v>1</v>
      </c>
      <c r="C475">
        <v>1.6500000000000001E-2</v>
      </c>
      <c r="D475">
        <v>0.63759999999999994</v>
      </c>
      <c r="E475">
        <v>699300.87</v>
      </c>
      <c r="F475">
        <f t="shared" si="14"/>
        <v>7356.924872747999</v>
      </c>
      <c r="G475">
        <v>7356.92</v>
      </c>
      <c r="H475">
        <f t="shared" si="15"/>
        <v>4.8727479988883715E-3</v>
      </c>
    </row>
    <row r="476" spans="1:8" x14ac:dyDescent="0.3">
      <c r="A476" t="str">
        <v>ZAAUTO2024-1-00473</v>
      </c>
      <c r="B476">
        <v>1</v>
      </c>
      <c r="C476">
        <v>1.61E-2</v>
      </c>
      <c r="D476">
        <v>0.4042</v>
      </c>
      <c r="E476">
        <v>628871.4</v>
      </c>
      <c r="F476">
        <f t="shared" si="14"/>
        <v>4092.4561000680001</v>
      </c>
      <c r="G476">
        <v>4092.46</v>
      </c>
      <c r="H476">
        <f t="shared" si="15"/>
        <v>-3.8999319999675208E-3</v>
      </c>
    </row>
    <row r="477" spans="1:8" x14ac:dyDescent="0.3">
      <c r="A477" t="str">
        <v>ZAAUTO2024-1-00474</v>
      </c>
      <c r="B477">
        <v>1</v>
      </c>
      <c r="C477">
        <v>1.7899999999999999E-2</v>
      </c>
      <c r="D477">
        <v>0.40179999999999999</v>
      </c>
      <c r="E477">
        <v>555345.55000000005</v>
      </c>
      <c r="F477">
        <f t="shared" si="14"/>
        <v>3994.1673716209998</v>
      </c>
      <c r="G477">
        <v>3994.17</v>
      </c>
      <c r="H477">
        <f t="shared" si="15"/>
        <v>-2.6283790002707974E-3</v>
      </c>
    </row>
    <row r="478" spans="1:8" x14ac:dyDescent="0.3">
      <c r="A478" t="str">
        <v>ZAAUTO2024-1-00475</v>
      </c>
      <c r="B478">
        <v>1</v>
      </c>
      <c r="C478">
        <v>1.7000000000000001E-2</v>
      </c>
      <c r="D478">
        <v>0.35589999999999999</v>
      </c>
      <c r="E478">
        <v>560050.88</v>
      </c>
      <c r="F478">
        <f t="shared" si="14"/>
        <v>3388.4758392640006</v>
      </c>
      <c r="G478">
        <v>3388.48</v>
      </c>
      <c r="H478">
        <f t="shared" si="15"/>
        <v>-4.1607359994486615E-3</v>
      </c>
    </row>
    <row r="479" spans="1:8" x14ac:dyDescent="0.3">
      <c r="A479" t="str">
        <v>ZAAUTO2024-1-00476</v>
      </c>
      <c r="B479">
        <v>1</v>
      </c>
      <c r="C479">
        <v>2.06E-2</v>
      </c>
      <c r="D479">
        <v>0.40200000000000002</v>
      </c>
      <c r="E479">
        <v>412757.04</v>
      </c>
      <c r="F479">
        <f t="shared" si="14"/>
        <v>3418.123599648</v>
      </c>
      <c r="G479">
        <v>3418.12</v>
      </c>
      <c r="H479">
        <f t="shared" si="15"/>
        <v>3.599648000090383E-3</v>
      </c>
    </row>
    <row r="480" spans="1:8" x14ac:dyDescent="0.3">
      <c r="A480" t="str">
        <v>ZAAUTO2024-1-00477</v>
      </c>
      <c r="B480">
        <v>1</v>
      </c>
      <c r="C480">
        <v>1.5299999999999999E-2</v>
      </c>
      <c r="D480">
        <v>0.36990000000000001</v>
      </c>
      <c r="E480">
        <v>1086815.1100000001</v>
      </c>
      <c r="F480">
        <f t="shared" si="14"/>
        <v>6150.7975105917003</v>
      </c>
      <c r="G480">
        <v>6150.8</v>
      </c>
      <c r="H480">
        <f t="shared" si="15"/>
        <v>-2.4894082998798694E-3</v>
      </c>
    </row>
    <row r="481" spans="1:8" x14ac:dyDescent="0.3">
      <c r="A481" t="str">
        <v>ZAAUTO2024-1-00478</v>
      </c>
      <c r="B481">
        <v>3</v>
      </c>
      <c r="C481">
        <v>0.65390000000000004</v>
      </c>
      <c r="D481">
        <v>0.3972</v>
      </c>
      <c r="E481">
        <v>35725.370000000003</v>
      </c>
      <c r="F481">
        <f t="shared" si="14"/>
        <v>9278.9174827596016</v>
      </c>
      <c r="G481">
        <v>9278.92</v>
      </c>
      <c r="H481">
        <f t="shared" si="15"/>
        <v>-2.5172403984470293E-3</v>
      </c>
    </row>
    <row r="482" spans="1:8" x14ac:dyDescent="0.3">
      <c r="A482" t="str">
        <v>ZAAUTO2024-1-00479</v>
      </c>
      <c r="B482">
        <v>1</v>
      </c>
      <c r="C482">
        <v>2.3300000000000001E-2</v>
      </c>
      <c r="D482">
        <v>0.38109999999999999</v>
      </c>
      <c r="E482">
        <v>150565.87</v>
      </c>
      <c r="F482">
        <f t="shared" si="14"/>
        <v>1336.9692162281001</v>
      </c>
      <c r="G482">
        <v>1336.97</v>
      </c>
      <c r="H482">
        <f t="shared" si="15"/>
        <v>-7.8377189993261709E-4</v>
      </c>
    </row>
    <row r="483" spans="1:8" x14ac:dyDescent="0.3">
      <c r="A483" t="str">
        <v>ZAAUTO2024-1-00480</v>
      </c>
      <c r="B483">
        <v>1</v>
      </c>
      <c r="C483">
        <v>2.3900000000000001E-2</v>
      </c>
      <c r="D483">
        <v>0.58289999999999997</v>
      </c>
      <c r="E483">
        <v>536511.34</v>
      </c>
      <c r="F483">
        <f t="shared" si="14"/>
        <v>7474.3057960553997</v>
      </c>
      <c r="G483">
        <v>7474.31</v>
      </c>
      <c r="H483">
        <f t="shared" si="15"/>
        <v>-4.203944600703835E-3</v>
      </c>
    </row>
    <row r="484" spans="1:8" x14ac:dyDescent="0.3">
      <c r="A484" t="str">
        <v>ZAAUTO2024-1-00481</v>
      </c>
      <c r="B484">
        <v>1</v>
      </c>
      <c r="C484">
        <v>1.9199999999999998E-2</v>
      </c>
      <c r="D484">
        <v>0.60860000000000003</v>
      </c>
      <c r="E484">
        <v>417370.98</v>
      </c>
      <c r="F484">
        <f t="shared" si="14"/>
        <v>4877.0299858175995</v>
      </c>
      <c r="G484">
        <v>4877.03</v>
      </c>
      <c r="H484">
        <f t="shared" si="15"/>
        <v>-1.4182400263962336E-5</v>
      </c>
    </row>
    <row r="485" spans="1:8" x14ac:dyDescent="0.3">
      <c r="A485" t="str">
        <v>ZAAUTO2024-1-00482</v>
      </c>
      <c r="B485">
        <v>2</v>
      </c>
      <c r="C485">
        <v>0.1021</v>
      </c>
      <c r="D485">
        <v>0.60250000000000004</v>
      </c>
      <c r="E485">
        <v>223215.11</v>
      </c>
      <c r="F485">
        <f t="shared" si="14"/>
        <v>13731.133295427499</v>
      </c>
      <c r="G485">
        <v>13731.13</v>
      </c>
      <c r="H485">
        <f t="shared" si="15"/>
        <v>3.2954274993244326E-3</v>
      </c>
    </row>
    <row r="486" spans="1:8" x14ac:dyDescent="0.3">
      <c r="A486" t="str">
        <v>ZAAUTO2024-1-00483</v>
      </c>
      <c r="B486">
        <v>1</v>
      </c>
      <c r="C486">
        <v>1.9400000000000001E-2</v>
      </c>
      <c r="D486">
        <v>0.42399999999999999</v>
      </c>
      <c r="E486">
        <v>425007.76</v>
      </c>
      <c r="F486">
        <f t="shared" si="14"/>
        <v>3495.943830656</v>
      </c>
      <c r="G486">
        <v>3495.94</v>
      </c>
      <c r="H486">
        <f t="shared" si="15"/>
        <v>3.830655999990995E-3</v>
      </c>
    </row>
    <row r="487" spans="1:8" x14ac:dyDescent="0.3">
      <c r="A487" t="str">
        <v>ZAAUTO2024-1-00484</v>
      </c>
      <c r="B487">
        <v>1</v>
      </c>
      <c r="C487">
        <v>2.41E-2</v>
      </c>
      <c r="D487">
        <v>0.6169</v>
      </c>
      <c r="E487">
        <v>766928.02</v>
      </c>
      <c r="F487">
        <f t="shared" si="14"/>
        <v>11402.1412824658</v>
      </c>
      <c r="G487">
        <v>11402.14</v>
      </c>
      <c r="H487">
        <f t="shared" si="15"/>
        <v>1.2824658006138634E-3</v>
      </c>
    </row>
    <row r="488" spans="1:8" x14ac:dyDescent="0.3">
      <c r="A488" t="str">
        <v>ZAAUTO2024-1-00485</v>
      </c>
      <c r="B488">
        <v>1</v>
      </c>
      <c r="C488">
        <v>2.0899999999999998E-2</v>
      </c>
      <c r="D488">
        <v>0.44450000000000001</v>
      </c>
      <c r="E488">
        <v>547189.24</v>
      </c>
      <c r="F488">
        <f t="shared" si="14"/>
        <v>5083.4153990619998</v>
      </c>
      <c r="G488">
        <v>5083.42</v>
      </c>
      <c r="H488">
        <f t="shared" si="15"/>
        <v>-4.6009380002942635E-3</v>
      </c>
    </row>
    <row r="489" spans="1:8" x14ac:dyDescent="0.3">
      <c r="A489" t="str">
        <v>ZAAUTO2024-1-00486</v>
      </c>
      <c r="B489">
        <v>1</v>
      </c>
      <c r="C489">
        <v>2.5399999999999999E-2</v>
      </c>
      <c r="D489">
        <v>0.4955</v>
      </c>
      <c r="E489">
        <v>2272331.62</v>
      </c>
      <c r="F489">
        <f t="shared" si="14"/>
        <v>28598.884069834003</v>
      </c>
      <c r="G489">
        <v>28598.880000000001</v>
      </c>
      <c r="H489">
        <f t="shared" si="15"/>
        <v>4.0698340017115697E-3</v>
      </c>
    </row>
    <row r="490" spans="1:8" x14ac:dyDescent="0.3">
      <c r="A490" t="str">
        <v>ZAAUTO2024-1-00487</v>
      </c>
      <c r="B490">
        <v>1</v>
      </c>
      <c r="C490">
        <v>2.1899999999999999E-2</v>
      </c>
      <c r="D490">
        <v>0.54779999999999995</v>
      </c>
      <c r="E490">
        <v>662940.21</v>
      </c>
      <c r="F490">
        <f t="shared" si="14"/>
        <v>7953.1743701321984</v>
      </c>
      <c r="G490">
        <v>7953.17</v>
      </c>
      <c r="H490">
        <f t="shared" si="15"/>
        <v>4.3701321983462549E-3</v>
      </c>
    </row>
    <row r="491" spans="1:8" x14ac:dyDescent="0.3">
      <c r="A491" t="str">
        <v>ZAAUTO2024-1-00488</v>
      </c>
      <c r="B491">
        <v>1</v>
      </c>
      <c r="C491">
        <v>2.5700000000000001E-2</v>
      </c>
      <c r="D491">
        <v>0.46210000000000001</v>
      </c>
      <c r="E491">
        <v>290205.39</v>
      </c>
      <c r="F491">
        <f t="shared" si="14"/>
        <v>3446.4705054783008</v>
      </c>
      <c r="G491">
        <v>3446.47</v>
      </c>
      <c r="H491">
        <f t="shared" si="15"/>
        <v>5.0547830096547841E-4</v>
      </c>
    </row>
    <row r="492" spans="1:8" x14ac:dyDescent="0.3">
      <c r="A492" t="str">
        <v>ZAAUTO2024-1-00489</v>
      </c>
      <c r="B492">
        <v>1</v>
      </c>
      <c r="C492">
        <v>2.1100000000000001E-2</v>
      </c>
      <c r="D492">
        <v>0.41880000000000001</v>
      </c>
      <c r="E492">
        <v>157543.04000000001</v>
      </c>
      <c r="F492">
        <f t="shared" si="14"/>
        <v>1392.1574307072003</v>
      </c>
      <c r="G492">
        <v>1392.16</v>
      </c>
      <c r="H492">
        <f t="shared" si="15"/>
        <v>-2.5692927997624793E-3</v>
      </c>
    </row>
    <row r="493" spans="1:8" x14ac:dyDescent="0.3">
      <c r="A493" t="str">
        <v>ZAAUTO2024-1-00490</v>
      </c>
      <c r="B493">
        <v>1</v>
      </c>
      <c r="C493">
        <v>2.2599999999999999E-2</v>
      </c>
      <c r="D493">
        <v>0.63070000000000004</v>
      </c>
      <c r="E493">
        <v>1924196.41</v>
      </c>
      <c r="F493">
        <f t="shared" si="14"/>
        <v>27427.149272786199</v>
      </c>
      <c r="G493">
        <v>27427.15</v>
      </c>
      <c r="H493">
        <f t="shared" si="15"/>
        <v>-7.2721380274742842E-4</v>
      </c>
    </row>
    <row r="494" spans="1:8" x14ac:dyDescent="0.3">
      <c r="A494" t="str">
        <v>ZAAUTO2024-1-00491</v>
      </c>
      <c r="B494">
        <v>2</v>
      </c>
      <c r="C494">
        <v>8.9300000000000004E-2</v>
      </c>
      <c r="D494">
        <v>0.64959999999999996</v>
      </c>
      <c r="E494">
        <v>305169.03999999998</v>
      </c>
      <c r="F494">
        <f t="shared" si="14"/>
        <v>17702.636288691199</v>
      </c>
      <c r="G494">
        <v>17702.64</v>
      </c>
      <c r="H494">
        <f t="shared" si="15"/>
        <v>-3.7113088001206052E-3</v>
      </c>
    </row>
    <row r="495" spans="1:8" x14ac:dyDescent="0.3">
      <c r="A495" t="str">
        <v>ZAAUTO2024-1-00492</v>
      </c>
      <c r="B495">
        <v>2</v>
      </c>
      <c r="C495">
        <v>0.13420000000000001</v>
      </c>
      <c r="D495">
        <v>0.43209999999999998</v>
      </c>
      <c r="E495">
        <v>1138623.04</v>
      </c>
      <c r="F495">
        <f t="shared" si="14"/>
        <v>66026.267891372801</v>
      </c>
      <c r="G495">
        <v>66026.27</v>
      </c>
      <c r="H495">
        <f t="shared" si="15"/>
        <v>-2.108627202687785E-3</v>
      </c>
    </row>
    <row r="496" spans="1:8" x14ac:dyDescent="0.3">
      <c r="A496" t="str">
        <v>ZAAUTO2024-1-00493</v>
      </c>
      <c r="B496">
        <v>1</v>
      </c>
      <c r="C496">
        <v>2.5399999999999999E-2</v>
      </c>
      <c r="D496">
        <v>0.51380000000000003</v>
      </c>
      <c r="E496">
        <v>0</v>
      </c>
      <c r="F496">
        <f t="shared" si="14"/>
        <v>0</v>
      </c>
      <c r="G496">
        <v>0</v>
      </c>
      <c r="H496">
        <f t="shared" si="15"/>
        <v>0</v>
      </c>
    </row>
    <row r="497" spans="1:8" x14ac:dyDescent="0.3">
      <c r="A497" t="str">
        <v>ZAAUTO2024-1-00494</v>
      </c>
      <c r="B497">
        <v>3</v>
      </c>
      <c r="C497">
        <v>0.71079999999999999</v>
      </c>
      <c r="D497">
        <v>0.52880000000000005</v>
      </c>
      <c r="E497">
        <v>1507790.21</v>
      </c>
      <c r="F497">
        <f t="shared" si="14"/>
        <v>566734.6743345185</v>
      </c>
      <c r="G497">
        <v>566734.67000000004</v>
      </c>
      <c r="H497">
        <f t="shared" si="15"/>
        <v>4.3345184531062841E-3</v>
      </c>
    </row>
    <row r="498" spans="1:8" x14ac:dyDescent="0.3">
      <c r="A498" t="str">
        <v>ZAAUTO2024-1-00495</v>
      </c>
      <c r="B498">
        <v>1</v>
      </c>
      <c r="C498">
        <v>1.46E-2</v>
      </c>
      <c r="D498">
        <v>0.58679999999999999</v>
      </c>
      <c r="E498">
        <v>1219584.1399999999</v>
      </c>
      <c r="F498">
        <f t="shared" si="14"/>
        <v>10448.518810939198</v>
      </c>
      <c r="G498">
        <v>10448.52</v>
      </c>
      <c r="H498">
        <f t="shared" si="15"/>
        <v>-1.1890608020621585E-3</v>
      </c>
    </row>
    <row r="499" spans="1:8" x14ac:dyDescent="0.3">
      <c r="A499" t="str">
        <v>ZAAUTO2024-1-00496</v>
      </c>
      <c r="B499">
        <v>2</v>
      </c>
      <c r="C499">
        <v>0.10050000000000001</v>
      </c>
      <c r="D499">
        <v>0.36609999999999998</v>
      </c>
      <c r="E499">
        <v>1482493.06</v>
      </c>
      <c r="F499">
        <f t="shared" si="14"/>
        <v>54545.441281233005</v>
      </c>
      <c r="G499">
        <v>54545.440000000002</v>
      </c>
      <c r="H499">
        <f t="shared" si="15"/>
        <v>1.281233002373483E-3</v>
      </c>
    </row>
    <row r="500" spans="1:8" x14ac:dyDescent="0.3">
      <c r="A500" t="str">
        <v>ZAAUTO2024-1-00497</v>
      </c>
      <c r="B500">
        <v>1</v>
      </c>
      <c r="C500">
        <v>1.5299999999999999E-2</v>
      </c>
      <c r="D500">
        <v>0.52659999999999996</v>
      </c>
      <c r="E500">
        <v>799816.3</v>
      </c>
      <c r="F500">
        <f t="shared" si="14"/>
        <v>6444.1039327739991</v>
      </c>
      <c r="G500">
        <v>6444.1</v>
      </c>
      <c r="H500">
        <f t="shared" si="15"/>
        <v>3.9327739987129462E-3</v>
      </c>
    </row>
    <row r="501" spans="1:8" x14ac:dyDescent="0.3">
      <c r="A501" t="str">
        <v>ZAAUTO2024-1-00498</v>
      </c>
      <c r="B501">
        <v>1</v>
      </c>
      <c r="C501">
        <v>2.4400000000000002E-2</v>
      </c>
      <c r="D501">
        <v>0.50970000000000004</v>
      </c>
      <c r="E501">
        <v>699255.26</v>
      </c>
      <c r="F501">
        <f t="shared" si="14"/>
        <v>8696.4139069368011</v>
      </c>
      <c r="G501">
        <v>8696.41</v>
      </c>
      <c r="H501">
        <f t="shared" si="15"/>
        <v>3.906936801286065E-3</v>
      </c>
    </row>
    <row r="502" spans="1:8" x14ac:dyDescent="0.3">
      <c r="A502" t="str">
        <v>ZAAUTO2024-1-00499</v>
      </c>
      <c r="B502">
        <v>1</v>
      </c>
      <c r="C502">
        <v>2.2200000000000001E-2</v>
      </c>
      <c r="D502">
        <v>0.53620000000000001</v>
      </c>
      <c r="E502">
        <v>43595.51</v>
      </c>
      <c r="F502">
        <f t="shared" si="14"/>
        <v>518.94525665640003</v>
      </c>
      <c r="G502">
        <v>518.95000000000005</v>
      </c>
      <c r="H502">
        <f t="shared" si="15"/>
        <v>-4.74334360001194E-3</v>
      </c>
    </row>
    <row r="503" spans="1:8" x14ac:dyDescent="0.3">
      <c r="A503" t="str">
        <v>ZAAUTO2024-1-00500</v>
      </c>
      <c r="B503">
        <v>1</v>
      </c>
      <c r="C503">
        <v>1.72E-2</v>
      </c>
      <c r="D503">
        <v>0.61809999999999998</v>
      </c>
      <c r="E503">
        <v>1457447.03</v>
      </c>
      <c r="F503">
        <f t="shared" si="14"/>
        <v>15494.5857589796</v>
      </c>
      <c r="G503">
        <v>15494.59</v>
      </c>
      <c r="H503">
        <f t="shared" si="15"/>
        <v>-4.241020400513662E-3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854844-FDF4-4B86-B6B1-13CE2EF9C2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auto_loan_securitisation_data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SUDA</dc:creator>
  <cp:lastModifiedBy>BALAJI SUDA</cp:lastModifiedBy>
  <dcterms:created xsi:type="dcterms:W3CDTF">2026-09-19T03:31:20Z</dcterms:created>
  <dcterms:modified xsi:type="dcterms:W3CDTF">2026-09-20T13:08:14Z</dcterms:modified>
</cp:coreProperties>
</file>